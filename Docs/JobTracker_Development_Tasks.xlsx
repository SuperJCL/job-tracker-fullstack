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elop\Projects\FrontEnd\job-tracker-fullStack\Docs\"/>
    </mc:Choice>
  </mc:AlternateContent>
  <xr:revisionPtr revIDLastSave="0" documentId="13_ncr:1_{52F75E79-EBBE-4EDB-A3EF-27B433524BF4}" xr6:coauthVersionLast="47" xr6:coauthVersionMax="47" xr10:uidLastSave="{00000000-0000-0000-0000-000000000000}"/>
  <bookViews>
    <workbookView xWindow="9045" yWindow="255" windowWidth="28035" windowHeight="20220" xr2:uid="{00000000-000D-0000-FFFF-FFFF00000000}"/>
  </bookViews>
  <sheets>
    <sheet name="任务进度" sheetId="1" r:id="rId1"/>
    <sheet name="需求详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H4" i="1"/>
  <c r="D4" i="1"/>
  <c r="B4" i="1"/>
  <c r="F4" i="1" l="1"/>
</calcChain>
</file>

<file path=xl/sharedStrings.xml><?xml version="1.0" encoding="utf-8"?>
<sst xmlns="http://schemas.openxmlformats.org/spreadsheetml/2006/main" count="685" uniqueCount="397">
  <si>
    <t>Job Tracker 开发任务进度</t>
  </si>
  <si>
    <t>任务数</t>
  </si>
  <si>
    <t>已验收</t>
  </si>
  <si>
    <t>完成率</t>
  </si>
  <si>
    <t>开发中</t>
  </si>
  <si>
    <t>待复核</t>
  </si>
  <si>
    <t>任务编号</t>
  </si>
  <si>
    <t>任务名称</t>
  </si>
  <si>
    <t>环境复核</t>
  </si>
  <si>
    <t>S0-01</t>
  </si>
  <si>
    <t>确认项目能运行</t>
  </si>
  <si>
    <t>无</t>
  </si>
  <si>
    <t>按此前记录复核；未运行代码验收</t>
  </si>
  <si>
    <t>S0-02</t>
  </si>
  <si>
    <t>建立需求任务记录</t>
  </si>
  <si>
    <t>前端完善</t>
  </si>
  <si>
    <t>S1-01</t>
  </si>
  <si>
    <t>统一申请和输入类型</t>
  </si>
  <si>
    <t>S1-02</t>
  </si>
  <si>
    <t>增加 label 和字段校验</t>
  </si>
  <si>
    <t>截图可见 Company label；校验和重置未验收</t>
  </si>
  <si>
    <t>S1-03</t>
  </si>
  <si>
    <t>完成新增后的重置流程</t>
  </si>
  <si>
    <t>S1-04</t>
  </si>
  <si>
    <t>补删除确认和两个空状态</t>
  </si>
  <si>
    <t>S1-05</t>
  </si>
  <si>
    <t>增加状态修改回调</t>
  </si>
  <si>
    <t>S1-06</t>
  </si>
  <si>
    <t>增加实际投递日期</t>
  </si>
  <si>
    <t>S1-07</t>
  </si>
  <si>
    <t>实现稳定排序</t>
  </si>
  <si>
    <t>S1-08</t>
  </si>
  <si>
    <t>完成前端 V1 回归</t>
  </si>
  <si>
    <t>S1-04 S1-07</t>
  </si>
  <si>
    <t>数据库与登录</t>
  </si>
  <si>
    <t>S2-01</t>
  </si>
  <si>
    <t>创建开发数据库和配置</t>
  </si>
  <si>
    <t>未开始</t>
  </si>
  <si>
    <t>按基线待开发；如已有实现请补证据</t>
  </si>
  <si>
    <t>S2-02</t>
  </si>
  <si>
    <t>建立 applications 和 profiles</t>
  </si>
  <si>
    <t>S2-03</t>
  </si>
  <si>
    <t>建立浏览器与服务端客户端</t>
  </si>
  <si>
    <t>S2-04</t>
  </si>
  <si>
    <t>实现注册登录退出</t>
  </si>
  <si>
    <t>S2-02 S2-03</t>
  </si>
  <si>
    <t>S2-05</t>
  </si>
  <si>
    <t>实现忘记密码和会话失效提示</t>
  </si>
  <si>
    <t>S2-06</t>
  </si>
  <si>
    <t>启用并验证 RLS</t>
  </si>
  <si>
    <t>S2-02 S2-04</t>
  </si>
  <si>
    <t>真实 CRUD</t>
  </si>
  <si>
    <t>S3-01</t>
  </si>
  <si>
    <t>定义校验响应和数据库映射</t>
  </si>
  <si>
    <t>S3-02</t>
  </si>
  <si>
    <t>实现列表读取接口</t>
  </si>
  <si>
    <t>S3-03</t>
  </si>
  <si>
    <t>实现新增接口</t>
  </si>
  <si>
    <t>S3-01 S3-02</t>
  </si>
  <si>
    <t>S3-04</t>
  </si>
  <si>
    <t>实现修改和删除接口</t>
  </si>
  <si>
    <t>S3-05</t>
  </si>
  <si>
    <t>把页面从 mock 切到 API</t>
  </si>
  <si>
    <t>S3-02 S3-03 S3-04</t>
  </si>
  <si>
    <t>S3-06</t>
  </si>
  <si>
    <t>实现服务端搜索筛选排序分页</t>
  </si>
  <si>
    <t>S3-07</t>
  </si>
  <si>
    <t>完成全栈 V2 验收</t>
  </si>
  <si>
    <t>S2-05 S3-06</t>
  </si>
  <si>
    <t>计费与结账</t>
  </si>
  <si>
    <t>S4-01</t>
  </si>
  <si>
    <t>落实测试套餐和订阅对象</t>
  </si>
  <si>
    <t>S4-02</t>
  </si>
  <si>
    <t>建立计费表及访问权限</t>
  </si>
  <si>
    <t>S4-03</t>
  </si>
  <si>
    <t>实现套餐推导和查询</t>
  </si>
  <si>
    <t>S4-04</t>
  </si>
  <si>
    <t>实现并发安全的新增额度</t>
  </si>
  <si>
    <t>S4-05</t>
  </si>
  <si>
    <t>安全创建或复用 Customer</t>
  </si>
  <si>
    <t>S4-06</t>
  </si>
  <si>
    <t>创建 Checkout session</t>
  </si>
  <si>
    <t>S4-03 S4-05</t>
  </si>
  <si>
    <t>S4-07</t>
  </si>
  <si>
    <t>完成升级和返回页面</t>
  </si>
  <si>
    <t>S4-08</t>
  </si>
  <si>
    <t>接入 Customer Portal</t>
  </si>
  <si>
    <t>S4-05 S4-07</t>
  </si>
  <si>
    <t>订阅可靠同步</t>
  </si>
  <si>
    <t>S5-01</t>
  </si>
  <si>
    <t>实现原始请求体验签</t>
  </si>
  <si>
    <t>S5-02</t>
  </si>
  <si>
    <t>可靠保存事件和处理任务</t>
  </si>
  <si>
    <t>S5-03</t>
  </si>
  <si>
    <t>建立任务领取与运行入口</t>
  </si>
  <si>
    <t>S5-04</t>
  </si>
  <si>
    <t>读取 Stripe 当前订阅</t>
  </si>
  <si>
    <t>S5-03 S4-05</t>
  </si>
  <si>
    <t>S5-05</t>
  </si>
  <si>
    <t>事务提交订阅与事件结果</t>
  </si>
  <si>
    <t>S5-06</t>
  </si>
  <si>
    <t>补应用重试和错误日志</t>
  </si>
  <si>
    <t>S5-07</t>
  </si>
  <si>
    <t>配置定时执行和对账</t>
  </si>
  <si>
    <t>S5-08</t>
  </si>
  <si>
    <t>完成完整订阅生命周期测试</t>
  </si>
  <si>
    <t>S4-08 S5-07</t>
  </si>
  <si>
    <t>测试与发布</t>
  </si>
  <si>
    <t>S6-01</t>
  </si>
  <si>
    <t>补关键自动化验证</t>
  </si>
  <si>
    <t>S3-07 S5-08</t>
  </si>
  <si>
    <t>S6-02</t>
  </si>
  <si>
    <t>完成生产构建和配置清单</t>
  </si>
  <si>
    <t>S6-03</t>
  </si>
  <si>
    <t>部署并做线上回归</t>
  </si>
  <si>
    <t>S6-04</t>
  </si>
  <si>
    <t>整理 README 和演示脚本</t>
  </si>
  <si>
    <t>可选扩展</t>
  </si>
  <si>
    <t>E-01</t>
  </si>
  <si>
    <t>编辑完整申请信息</t>
  </si>
  <si>
    <t>暂缓</t>
  </si>
  <si>
    <t>核心链路完成后再安排</t>
  </si>
  <si>
    <t>E-02</t>
  </si>
  <si>
    <t>实现 Pro CSV 导出</t>
  </si>
  <si>
    <t>Job Tracker 需求详情</t>
  </si>
  <si>
    <t>按任务编号对应“任务进度”。文件路径为目标位置，需适配实际仓库。</t>
  </si>
  <si>
    <t>S1-05 需结合 S1-06 验收；结账往返后还需 S5 同步验收，才能完成订阅。</t>
  </si>
  <si>
    <t>涉及文件 / 位置</t>
  </si>
  <si>
    <t>需求效果</t>
  </si>
  <si>
    <t>实施步骤</t>
  </si>
  <si>
    <t>验收标准</t>
  </si>
  <si>
    <t>需要掌握</t>
  </si>
  <si>
    <t>任务类型</t>
  </si>
  <si>
    <t>恢复一个可继续开发的本地基线。</t>
  </si>
  <si>
    <t>1. 检查 Node 与包管理器版本，按锁文件安装依赖。
2. 启动现有开发脚本，打开主页和 applications 页面。
3. 记录 Git 分支、未提交改动与现有报错，保留个人改动。</t>
  </si>
  <si>
    <t>页面能打开；记录版本与启动命令；不为继续开发强制升级。</t>
  </si>
  <si>
    <t>依赖 锁文件 Git 工作区</t>
  </si>
  <si>
    <t>复核</t>
  </si>
  <si>
    <t>README 或 docs/development-checklist.md</t>
  </si>
  <si>
    <t>知道哪些功能已完成、哪些需要补做。</t>
  </si>
  <si>
    <t>1. 逐一操作新增、删除、搜索、筛选、badge 和统计。
2. 给任务标记待检查、待开发或已验收，附复现方法。
3. 记录组件目录和 props；标记数据库仍未接入的事实。</t>
  </si>
  <si>
    <t>已有功能都有结果记录；未看到代码的功能不标完成。</t>
  </si>
  <si>
    <t>需求拆分 可复现问题</t>
  </si>
  <si>
    <t>types/application.ts mock 数据 组件 props</t>
  </si>
  <si>
    <t>表单、卡片和列表使用一致字段。</t>
  </si>
  <si>
    <t>必要类型检查通过；不存在 position 与 role 混用。</t>
  </si>
  <si>
    <t>联合类型 输入和实体边界</t>
  </si>
  <si>
    <t>ApplicationForm lib/validation/application.ts</t>
  </si>
  <si>
    <t>无效输入不能生成申请记录。</t>
  </si>
  <si>
    <t>1. 给公司和岗位添加 label、id、错误关联属性。
2. 实现 trim、必填和长度校验；状态使用白名单。
3. 提交函数再次校验；显示字段错误并保留用户输入。</t>
  </si>
  <si>
    <t>空值、纯空格、超长值均被拒绝；合法输入去除首尾空格。</t>
  </si>
  <si>
    <t>受控输入 运行时校验</t>
  </si>
  <si>
    <t>待检查</t>
  </si>
  <si>
    <t>ApplicationForm page.tsx 中 onAdd</t>
  </si>
  <si>
    <t>合法新增后出现一条记录并恢复表单。</t>
  </si>
  <si>
    <t>1. 父页面构造完整记录与稳定 id，再更新原始数组。
2. 成功后清空公司岗位并恢复默认状态，失败不清空。
3. 为后续异步保存约定返回结果，避免子组件提前重置。</t>
  </si>
  <si>
    <t>连续两次真实新增正常；新增不会破坏搜索与统计。</t>
  </si>
  <si>
    <t>回调职责 不可变数组更新</t>
  </si>
  <si>
    <t>ApplicationCard page.tsx 空状态区域</t>
  </si>
  <si>
    <t>删除可取消，空列表能给出正确提示。</t>
  </si>
  <si>
    <t>1. 删除前确认；取消直接返回，确认后调用现有 onDelete。
2. 分别判断原始列表为空与匹配结果为空。
3. 删除最后一条时同步统计并显示新增引导。</t>
  </si>
  <si>
    <t>取消不删除；最后一条能删；两种空状态文案正确。</t>
  </si>
  <si>
    <t>条件渲染 事件处理</t>
  </si>
  <si>
    <t>ApplicationCard page.tsx ApplicationStatus</t>
  </si>
  <si>
    <t>卡片可以修改申请状态。</t>
  </si>
  <si>
    <t>1. Card 添加状态选择，props 增加 onStatusChange。
2. 父页面按 id 用 map 更新目标对象，不直接修改 state。
3. 统计基于原始列表重新计算；筛选结果由数据派生。</t>
  </si>
  <si>
    <t>Applied 改 Interview 后 badge、统计和筛选同时正确。</t>
  </si>
  <si>
    <t>状态提升 map 对象复制</t>
  </si>
  <si>
    <t>types Form Card mock</t>
  </si>
  <si>
    <t>非 Wishlist 记录有明确实际申请日期。</t>
  </si>
  <si>
    <t>1. 增加 dateApplied 日期值；Wishlist 允许为空。
2. 表单与状态变更一起校验，缺日期时先收集再保存。
3. 按日期文本显示，避免 UTC 转换导致日期偏移。</t>
  </si>
  <si>
    <t>无日期不能保存非 Wishlist；切换状态不会留下不合法记录。</t>
  </si>
  <si>
    <t>日期与时间戳区别</t>
  </si>
  <si>
    <t>page.tsx 排序控件 派生列表</t>
  </si>
  <si>
    <t>记录可按创建时间或申请日期排列。</t>
  </si>
  <si>
    <t>1. 确定默认 createdAt 从新到旧，补齐开发 fixture。
2. 复制数组后排序；空申请日期置后，并设稳定次序。
3. 按搜索和筛选结果排序，保留原始列表。</t>
  </si>
  <si>
    <t>空日期、相同日期和组合条件正确；排序不改原始 state。</t>
  </si>
  <si>
    <t>sort 的副作用 稳定排序</t>
  </si>
  <si>
    <t>页面及组件 README</t>
  </si>
  <si>
    <t>前端操作链可完整演示。</t>
  </si>
  <si>
    <t>1. 执行新增、组合检索、状态修改、排序和删除。
2. 检查手机宽度与键盘操作；复核全局统计口径。
3. 运行现有必要检查，保存演示步骤并做阶段提交。</t>
  </si>
  <si>
    <t>操作无报错；状态数量之和等于总数；检查结果有记录。</t>
  </si>
  <si>
    <t>回归验证 组件职责</t>
  </si>
  <si>
    <t>Supabase 开发项目 .env.example</t>
  </si>
  <si>
    <t>开发环境能连接数据库，配置可复现。</t>
  </si>
  <si>
    <t>1. 创建或选用开发项目；确认项目 URL 与公开 key。
2. 本地配置 .env.local；仅示例变量名进入 Git。
3. 确定 SQL migration 保存方式和执行顺序。</t>
  </si>
  <si>
    <t>能执行开发查询；源码没有提交密钥；配置说明完整。</t>
  </si>
  <si>
    <t>环境变量 数据库连接</t>
  </si>
  <si>
    <t>待开发</t>
  </si>
  <si>
    <t>supabase/migrations</t>
  </si>
  <si>
    <t>有可保存申请及用户归属的表。</t>
  </si>
  <si>
    <t>1. 按第 5 章创建字段、主外键、CHECK 和索引。
2. 建立 updated_at 触发器；限制不可变字段写入。
3. 注册时由受控触发器创建 profile，补齐已存在用户。</t>
  </si>
  <si>
    <t>新用户有一行 profile；非法状态和空白公司被数据库拒绝。</t>
  </si>
  <si>
    <t>DDL 外键 约束 触发器</t>
  </si>
  <si>
    <t>lib/supabase/client.ts server.ts 会话入口</t>
  </si>
  <si>
    <t>浏览器和服务端都能正确使用用户会话。</t>
  </si>
  <si>
    <t>1. 按仓库版本配置 @supabase/ssr 和 cookie 客户端。
2. 配置版本对应的 middleware 或 proxy 刷新会话。
3. 写统一可信身份验证函数，供页面和接口使用。</t>
  </si>
  <si>
    <t>刷新能恢复登录；服务端不只信任未验证的 session。</t>
  </si>
  <si>
    <t>cookie SSR 身份验证</t>
  </si>
  <si>
    <t>登录注册页面 Auth 回调</t>
  </si>
  <si>
    <t>用户可以建立并进入自己的账户。</t>
  </si>
  <si>
    <t>1. 注册调用 Auth；显示待邮箱验证和错误状态。
2. 完成确认回调、密码登录和退出；处理 pending。
3. 保护个人页面与接口；登录后只允许安全站内跳转。</t>
  </si>
  <si>
    <t>注册确认、登录、退出走通；未登录接口返回 401。</t>
  </si>
  <si>
    <t>Auth 回调 受保护页面</t>
  </si>
  <si>
    <t>重置密码页面 Auth 回调</t>
  </si>
  <si>
    <t>用户可恢复密码并处理失效会话。</t>
  </si>
  <si>
    <t>1. 增加请求重置邮件入口，返回不泄露账户存在性的提示。
2. 验证恢复会话后允许设置新密码，配置正确回调。
3. 接口失去身份时提示重新登录，保留可恢复的输入。</t>
  </si>
  <si>
    <t>旧密码失效，新密码可登录；无恢复身份不能改密码。</t>
  </si>
  <si>
    <t>恢复流程 会话过期</t>
  </si>
  <si>
    <t>RLS migration 双用户测试</t>
  </si>
  <si>
    <t>用户不能跨账户访问申请。</t>
  </si>
  <si>
    <t>1. 为读取和删除写归属策略；新增用 WITH CHECK。
2. 修改同时校验原记录与新归属；收紧不可变列写权限。
3. 用 A/B 账户及直接 Data API 测试越权。</t>
  </si>
  <si>
    <t>A 无法读、改、删 B；也不能替 B 插入或迁移归属。</t>
  </si>
  <si>
    <t>RLS 数据库权限</t>
  </si>
  <si>
    <t>lib/validation lib/errors lib/mappers</t>
  </si>
  <si>
    <t>接口有一致输入输出契约。</t>
  </si>
  <si>
    <t>1. 复用业务校验并校验 HTTP 数据；拒绝未知写入字段。
2. 定义统一错误对象、状态码与 requestId。
3. 实现 snake_case 与 camelCase 映射，处理可空日期。</t>
  </si>
  <si>
    <t>非法数据返回 400；数据库字段不会泄漏进组件契约。</t>
  </si>
  <si>
    <t>运行时 schema HTTP 错误</t>
  </si>
  <si>
    <t>GET /api/applications</t>
  </si>
  <si>
    <t>登录后从数据库读取个人申请。</t>
  </si>
  <si>
    <t>1. 验证身份，使用用户 server client 查询本人记录。
2. 先实现默认稳定排序、items 和全局 summary。
3. 设置私有缓存，区分 401、空数据与数据库失败。</t>
  </si>
  <si>
    <t>两个用户结果独立；无记录返回空数组；错误不伪装为空。</t>
  </si>
  <si>
    <t>异步读取 缓存 聚合</t>
  </si>
  <si>
    <t>POST /api/applications</t>
  </si>
  <si>
    <t>合法输入可以持久保存。</t>
  </si>
  <si>
    <t>1. 从会话确定 user_id，不接受客户端指定归属。
2. 校验并插入，返回数据库生成的完整记录与 201。
3. 处理约束失败和数据库异常；保留未来 RPC 调用边界。</t>
  </si>
  <si>
    <t>新增后重新读取仍存在；伪造 user_id 被拒绝。</t>
  </si>
  <si>
    <t>服务端校验 数据写入</t>
  </si>
  <si>
    <t>PATCH DELETE /api/applications/:id</t>
  </si>
  <si>
    <t>状态变更和删除可以持久保存。</t>
  </si>
  <si>
    <t>1. 校验 id、修改字段及状态日期的合并结果。
2. 带用户身份操作，目标不存在或不可访问统一 404。
3. 返回更新对象或 204；失败不返回成功状态。</t>
  </si>
  <si>
    <t>改状态后刷新仍正确；删除后刷新仍不存在；越权失败。</t>
  </si>
  <si>
    <t>部分更新 归属校验</t>
  </si>
  <si>
    <t>applications 页面 Form Card</t>
  </si>
  <si>
    <t>界面完整使用真实数据。</t>
  </si>
  <si>
    <t>1. 读取接口并展示 loading、空数据和失败重试。
2. 新增修改删除等待成功再更新，操作期间禁用重复提交。
3. 保存失败保留输入与记录；同步刷新统计，停止默认 mock。</t>
  </si>
  <si>
    <t>刷新不丢数据；断网时提示失败；成功后才重置表单。</t>
  </si>
  <si>
    <t>请求状态 async 数据来源</t>
  </si>
  <si>
    <t>GET /api/applications 搜索控件</t>
  </si>
  <si>
    <t>检索覆盖全部本人数据。</t>
  </si>
  <si>
    <t>1. 校验 q/status/sort/page/pageSize，采用受控参数查询。
2. 实现过滤总数与分页；全局 summary 仍统计全部记录。
3. 条件变化重置页码；防抖并丢弃过期响应。</t>
  </si>
  <si>
    <t>超过一页的数据能搜到；特殊字符正常；旧响应不覆盖新结果。</t>
  </si>
  <si>
    <t>查询分页 请求竞态</t>
  </si>
  <si>
    <t>集成验证记录 README</t>
  </si>
  <si>
    <t>登录和申请 CRUD 能完整演示。</t>
  </si>
  <si>
    <t>1. A/B 账户各执行新增、修改、删除和刷新。
2. 检查过期会话、错误恢复、数据归属与统计。
3. 保存 migration 和验证记录，提交可复现的 V2。</t>
  </si>
  <si>
    <t>两个用户隔离，刷新保留；关键检查通过后进入计费。</t>
  </si>
  <si>
    <t>全链路验证</t>
  </si>
  <si>
    <t>lib/billing/plans.ts Stripe 测试配置</t>
  </si>
  <si>
    <t>Free/Pro 规则能被代码一致使用。</t>
  </si>
  <si>
    <t>1. 采用建议 Free 50 条规则，价格仅用测试配置。
2. 创建测试 Product 与 recurring Price，记录允许的 ID。
3. 确定账期末取消、无额外宽限期及降级保留数据规则。</t>
  </si>
  <si>
    <t>所有限制来自统一配置；前端不能提交金额或决定 plan。</t>
  </si>
  <si>
    <t>套餐 Product Price Subscription</t>
  </si>
  <si>
    <t>subscriptions stripe_events billing_operations</t>
  </si>
  <si>
    <t>计费关联和事件有可靠存储。</t>
  </si>
  <si>
    <t>1. 添加 customer 与 subscription 唯一约束及用户外键。
2. 事件表补 status、attempts、retry、lease 和错误字段。
3. 用户仅可读本人订阅；计费事件与操作只供服务端。</t>
  </si>
  <si>
    <t>普通用户无法写 plan/customer/event；重复 event_id 不新增行。</t>
  </si>
  <si>
    <t>计费映射 唯一约束</t>
  </si>
  <si>
    <t>lib/billing/entitlements.ts GET /api/billing</t>
  </si>
  <si>
    <t>页面和后端得到同一套餐结果。</t>
  </si>
  <si>
    <t>1. 根据允许 Price、订阅状态和有效期限推导权益。
2. 取消但未到期保留 Pro；其他无效状态按 Free。
3. 查询返回套餐、状态、用量、到期日和取消标记。</t>
  </si>
  <si>
    <t>有效、过期、past_due 与取消场景推导符合第 9 章。</t>
  </si>
  <si>
    <t>状态机 纯函数</t>
  </si>
  <si>
    <t>新增 RPC POST 接口 授权 migration</t>
  </si>
  <si>
    <t>并发请求也不能突破 Free 额度。</t>
  </si>
  <si>
    <t>1. RPC 取 auth.uid() 并锁本人 profile，事务内计算额度。
2. 同一事务完成检查与插入；撤销用户直接 INSERT 权限。
3. 收紧 definer 函数执行权限和 search_path，映射限额错误。</t>
  </si>
  <si>
    <t>49 条时两个并发新增最多一条成功；直接 Data API 不能绕过。</t>
  </si>
  <si>
    <t>事务 行锁 RPC 权限</t>
  </si>
  <si>
    <t>lib/stripe/customer.ts billing_operations</t>
  </si>
  <si>
    <t>同一用户复用同一个 Stripe customer。</t>
  </si>
  <si>
    <t>1. 先查可信用户映射；缺失时预留持久化操作。
2. 用该操作的稳定 idempotency key 创建 customer。
3. 保存唯一映射，处理崩溃后的重试与并发请求。</t>
  </si>
  <si>
    <t>重复和并发调用不建立多个应用 customer 映射。</t>
  </si>
  <si>
    <t>外部 API 幂等操作</t>
  </si>
  <si>
    <t>POST /api/billing/checkout</t>
  </si>
  <si>
    <t>升级按钮可打开受控结账页。</t>
  </si>
  <si>
    <t>1. 验证用户并阻止已有有效订阅再次结账。
2. 复用有效操作/session；价格和返回地址取服务端配置。
3. 创建 subscription session，保存 ID 和关联信息再返回 URL。</t>
  </si>
  <si>
    <t>重复点击与网络重试复用 session；伪造价格或归属无效。</t>
  </si>
  <si>
    <t>Checkout 操作预留</t>
  </si>
  <si>
    <t>billing 页面 success cancel 页面</t>
  </si>
  <si>
    <t>用户理解结账结果和同步状态。</t>
  </si>
  <si>
    <t>1. 按钮处理 pending 和创建失败；取消返回原套餐。
2. 支付返回后显示同步中，并有界查询 /api/billing。
3. 超时显示稍后刷新，不根据 URL 参数自行升级。</t>
  </si>
  <si>
    <t>伪造 success URL 不能变 Pro；未完成 S5 时不标计费完成。</t>
  </si>
  <si>
    <t>支付 UI 服务端权威状态</t>
  </si>
  <si>
    <t>POST /api/billing/portal billing 页面</t>
  </si>
  <si>
    <t>用户能查看账单和安排取消。</t>
  </si>
  <si>
    <t>1. Stripe 配置付款方式、账单和账期末取消操作。
2. 接口只按登录用户映射 customer 创建 Portal。
3. 返回应用重新读取订阅；具体变更等 webhook 同步。</t>
  </si>
  <si>
    <t>不能打开他人 Portal；取消流程可演示，状态待 S5 完整验收。</t>
  </si>
  <si>
    <t>Portal 服务端对象归属</t>
  </si>
  <si>
    <t>POST /api/stripe/webhook</t>
  </si>
  <si>
    <t>仅有效 Stripe 请求进入计费处理。</t>
  </si>
  <si>
    <t>1. 使用原始 body 与 Stripe-Signature 验证，不先 JSON 重写。
2. 区分测试与线上 secret，限制处理的事件类型。
3. 记录必要 event 标识，避免日志输出密钥和全量隐私。</t>
  </si>
  <si>
    <t>有效事件通过；错误或缺失签名返回 400；body 篡改被拒绝。</t>
  </si>
  <si>
    <t>签名 原始字节 边界</t>
  </si>
  <si>
    <t>stripe_events 入站事件函数</t>
  </si>
  <si>
    <t>接收成功后即使进程退出事件也不丢失。</t>
  </si>
  <si>
    <t>1. 将 event_id、类型、必要关联和 pending 状态持久写入。
2. 数据库唯一键去重；已处理重复事件直接返回。
3. 仅在持久保存成功后返回 2xx，写入失败返回可重试错误。</t>
  </si>
  <si>
    <t>重复只一条记录；落库后重启仍有待处理事件。</t>
  </si>
  <si>
    <t>持久化去重 接收确认</t>
  </si>
  <si>
    <t>worker RPC 与 POST /api/internal/billing/process</t>
  </si>
  <si>
    <t>任务能执行、重试并在崩溃后恢复。</t>
  </si>
  <si>
    <t>1. 提供受保护的任务接口调用 worker；开发时用命令调用同一处理函数。
2. 数据库原子领取任务，保存 lease、attempt 和领取 token。
3. 同 customer 串行；租约续期并禁止失效 worker 提交结果。</t>
  </si>
  <si>
    <t>两 worker 不重复提交；超时崩溃后任务可重新领取。</t>
  </si>
  <si>
    <t>租约 并发控制 fencing</t>
  </si>
  <si>
    <t>lib/billing/sync-subscription.ts</t>
  </si>
  <si>
    <t>乱序事件最终同步到当前正确状态。</t>
  </si>
  <si>
    <t>1. 从已验证事件关联查可信 customer/user 映射。
2. 串行处理时读取 Stripe 最新订阅，验证允许的价格。
3. 处理取消、删除、付款失败和恢复，按固定 API 版本映射字段。</t>
  </si>
  <si>
    <t>先处理新事件再处理旧事件不会恢复错误旧状态。</t>
  </si>
  <si>
    <t>外部状态与本地投影</t>
  </si>
  <si>
    <t>同步 RPC subscriptions stripe_events</t>
  </si>
  <si>
    <t>权益更新与事件完成保持一致。</t>
  </si>
  <si>
    <t>1. 验证任务领取 token，锁用户 profile，更新订阅投影。
2. 在同一事务把事件标 processed；任一步失败整体回滚。
3. 处理过的事件不再次更新；更新后 GET billing 可读。</t>
  </si>
  <si>
    <t>不存在已 processed 但权益未更新；中断后重试能完成。</t>
  </si>
  <si>
    <t>事务 原子性 幂等</t>
  </si>
  <si>
    <t>worker 日志与重放入口</t>
  </si>
  <si>
    <t>暂时失败可以恢复并定位原因。</t>
  </si>
  <si>
    <t>1. 失败保存 attempts、简要错误和 next_retry_at。
2. 按建议间隔退避；达到上限标 failed，保留人工重放方式。
3. 记录 requestId/eventId/operationId，恢复过期租约。</t>
  </si>
  <si>
    <t>模拟 Stripe 或数据库失败后能重试；重放没有额外副作用。</t>
  </si>
  <si>
    <t>退避 日志 失败分类</t>
  </si>
  <si>
    <t>部署任务配置 对账函数</t>
  </si>
  <si>
    <t>线上任务及漏事件修复实际运行。</t>
  </si>
  <si>
    <t>1. 定时触发任务接口，由 worker 领取并处理到期事件；任务凭据仅在服务端。
2. 定期读取本人映射的 Stripe 状态并复用同步逻辑。
3. 记录最近成功时间和异常，检测长期未处理任务。</t>
  </si>
  <si>
    <t>部署重启后仍执行；漏掉一次变更后对账能修复权益。</t>
  </si>
  <si>
    <t>调度 对账 可观测性</t>
  </si>
  <si>
    <t>Stripe 测试演示 验收记录</t>
  </si>
  <si>
    <t>升级、续费、取消和失败都能正确管理权益。</t>
  </si>
  <si>
    <t>1. 测试支付升级、续费、账期末取消以及到期降级。
2. 模拟支付失败、补付、重复事件和乱序事件。
3. 降级后检查已有数据保留，Free 额度和重复结账防护生效。</t>
  </si>
  <si>
    <t>全部场景通过后才标记 V3 订阅完成；截图与状态有记录。</t>
  </si>
  <si>
    <t>计费全链路验证</t>
  </si>
  <si>
    <t>测试目录与运行脚本</t>
  </si>
  <si>
    <t>高风险规则能被重复验证。</t>
  </si>
  <si>
    <t>1. 测试输入校验和套餐推导纯函数。
2. 集成验证 RLS、并发额度与 webhook 事务重放。
3. 保留登录 CRUD 和升级取消的少量端到端场景。</t>
  </si>
  <si>
    <t>测试能发现归属、额度和重复处理错误，不只复刻实现。</t>
  </si>
  <si>
    <t>测试边界 集成验证</t>
  </si>
  <si>
    <t>package.json .env.example migration</t>
  </si>
  <si>
    <t>代码在目标运行环境能构建。</t>
  </si>
  <si>
    <t>1. 执行仓库定义的 lint、类型检查、build 与关键测试。
2. 整理公开和私有环境变量名，确认 Node 运行时兼容。
3. 准备 migration、Auth 回调、worker 和 Stripe 测试配置。</t>
  </si>
  <si>
    <t>必要检查通过；配置清单可复现；源码无真实密钥。</t>
  </si>
  <si>
    <t>构建 运行时 环境配置</t>
  </si>
  <si>
    <t>选定托管平台 部署配置</t>
  </si>
  <si>
    <t>线上测试 Demo 可供演示。</t>
  </si>
  <si>
    <t>1. 按平台部署网页与接口，应用数据库 migration。
2. 配置真实可达的测试 webhook、Auth 回调与任务执行器。
3. 线上双用户走 CRUD，再测试升级、取消、重放和对账。</t>
  </si>
  <si>
    <t>线上回归通过；任务持续执行；保持 Stripe 测试模式。</t>
  </si>
  <si>
    <t>部署 外部回调 线上验证</t>
  </si>
  <si>
    <t>README 架构说明 演示步骤</t>
  </si>
  <si>
    <t>别人可运行项目，你可解释关键设计。</t>
  </si>
  <si>
    <t>1. 写安装、配置、migration、运行和测试命令。
2. 说明权限、额度事务、支付同步和已知限制。
3. 准备 3 至 5 分钟演示，记录版本与已通过的场景。</t>
  </si>
  <si>
    <t>干净环境按说明能运行；演示覆盖核心价值和技术取舍。</t>
  </si>
  <si>
    <t>工程交付 面试讲解</t>
  </si>
  <si>
    <t>ApplicationForm 编辑入口 PATCH</t>
  </si>
  <si>
    <t>用户能修改公司岗位链接和备注。</t>
  </si>
  <si>
    <t>1. 表单支持新增与编辑两种模式，复用验证。
2. 回填数据并校验 URL 协议与备注长度。
3. 提交允许字段；取消保留原记录，失败保留草稿。</t>
  </si>
  <si>
    <t>编辑后刷新保留；取消不修改；非法链接无法保存。</t>
  </si>
  <si>
    <t>表单复用 部分更新</t>
  </si>
  <si>
    <t>可选</t>
  </si>
  <si>
    <t>GET /api/applications/export 导出按钮</t>
  </si>
  <si>
    <t>Pro 用户可以下载全部本人申请。</t>
  </si>
  <si>
    <t>1. 服务端验证身份与权益，读取全部本人记录。
2. 固定列顺序、UTF-8 与 CSV 转义，防止文本被当成公式。
3. 返回下载文件；界面显示失败与套餐限制。</t>
  </si>
  <si>
    <t>中文逗号换行可读；包含多页数据；Free 和越权请求失败。</t>
  </si>
  <si>
    <t>文件响应 权限 导出格式</t>
  </si>
  <si>
    <t>2026.4.8</t>
    <phoneticPr fontId="6" type="noConversion"/>
  </si>
  <si>
    <t>完成</t>
    <phoneticPr fontId="6" type="noConversion"/>
  </si>
  <si>
    <t>通过</t>
    <phoneticPr fontId="6" type="noConversion"/>
  </si>
  <si>
    <t>无</t>
    <phoneticPr fontId="6" type="noConversion"/>
  </si>
  <si>
    <t>1.Initial commit from Create Next App
2.build application page with form,filter and search</t>
    <phoneticPr fontId="6" type="noConversion"/>
  </si>
  <si>
    <t>未标记数据库仍未接入事实</t>
    <phoneticPr fontId="6" type="noConversion"/>
  </si>
  <si>
    <t>任务记录已建立；已有功能操作和真实目录待复核</t>
    <phoneticPr fontId="6" type="noConversion"/>
  </si>
  <si>
    <r>
      <t>1.</t>
    </r>
    <r>
      <rPr>
        <sz val="11"/>
        <color rgb="FF223449"/>
        <rFont val="Microsoft YaHei"/>
        <family val="2"/>
        <charset val="134"/>
      </rPr>
      <t>组件抽离</t>
    </r>
    <r>
      <rPr>
        <sz val="11"/>
        <color rgb="FF223449"/>
        <rFont val="Calibri"/>
        <family val="2"/>
      </rPr>
      <t>+mock
2.build task records</t>
    </r>
    <phoneticPr fontId="6" type="noConversion"/>
  </si>
  <si>
    <t>2026.10.4</t>
    <phoneticPr fontId="6" type="noConversion"/>
  </si>
  <si>
    <r>
      <t xml:space="preserve">package.json </t>
    </r>
    <r>
      <rPr>
        <sz val="11"/>
        <color rgb="FF223449"/>
        <rFont val="Microsoft YaHei"/>
        <family val="2"/>
        <charset val="134"/>
      </rPr>
      <t>锁文件</t>
    </r>
    <r>
      <rPr>
        <sz val="11"/>
        <color rgb="FF223449"/>
        <rFont val="Arial"/>
        <family val="2"/>
      </rPr>
      <t xml:space="preserve"> README</t>
    </r>
    <phoneticPr fontId="6" type="noConversion"/>
  </si>
  <si>
    <t>复核</t>
    <phoneticPr fontId="6" type="noConversion"/>
  </si>
  <si>
    <r>
      <t xml:space="preserve">1. </t>
    </r>
    <r>
      <rPr>
        <sz val="11"/>
        <color rgb="FF223449"/>
        <rFont val="Microsoft YaHei"/>
        <family val="2"/>
        <charset val="134"/>
      </rPr>
      <t>检查</t>
    </r>
    <r>
      <rPr>
        <sz val="11"/>
        <color rgb="FF223449"/>
        <rFont val="Arial"/>
        <family val="2"/>
      </rPr>
      <t xml:space="preserve"> Application </t>
    </r>
    <r>
      <rPr>
        <sz val="11"/>
        <color rgb="FF223449"/>
        <rFont val="Microsoft YaHei"/>
        <family val="2"/>
        <charset val="134"/>
      </rPr>
      <t>字段；保留</t>
    </r>
    <r>
      <rPr>
        <sz val="11"/>
        <color rgb="FF223449"/>
        <rFont val="Arial"/>
        <family val="2"/>
      </rPr>
      <t xml:space="preserve"> role </t>
    </r>
    <r>
      <rPr>
        <sz val="11"/>
        <color rgb="FF223449"/>
        <rFont val="Microsoft YaHei"/>
        <family val="2"/>
        <charset val="134"/>
      </rPr>
      <t xml:space="preserve">和现有合法状态。
</t>
    </r>
    <r>
      <rPr>
        <sz val="11"/>
        <color rgb="FF223449"/>
        <rFont val="Arial"/>
        <family val="2"/>
      </rPr>
      <t xml:space="preserve">2. </t>
    </r>
    <r>
      <rPr>
        <sz val="11"/>
        <color rgb="FF223449"/>
        <rFont val="Microsoft YaHei"/>
        <family val="2"/>
        <charset val="134"/>
      </rPr>
      <t xml:space="preserve">补齐五种状态联合类型，区分输入类型与完整记录。
</t>
    </r>
    <r>
      <rPr>
        <sz val="11"/>
        <color rgb="FF223449"/>
        <rFont val="Arial"/>
        <family val="2"/>
      </rPr>
      <t xml:space="preserve">3. </t>
    </r>
    <r>
      <rPr>
        <sz val="11"/>
        <color rgb="FF223449"/>
        <rFont val="Microsoft YaHei"/>
        <family val="2"/>
        <charset val="134"/>
      </rPr>
      <t>让</t>
    </r>
    <r>
      <rPr>
        <sz val="11"/>
        <color rgb="FF223449"/>
        <rFont val="Arial"/>
        <family val="2"/>
      </rPr>
      <t xml:space="preserve"> Card</t>
    </r>
    <r>
      <rPr>
        <sz val="11"/>
        <color rgb="FF223449"/>
        <rFont val="Microsoft YaHei"/>
        <family val="2"/>
        <charset val="134"/>
      </rPr>
      <t>、</t>
    </r>
    <r>
      <rPr>
        <sz val="11"/>
        <color rgb="FF223449"/>
        <rFont val="Arial"/>
        <family val="2"/>
      </rPr>
      <t>Form</t>
    </r>
    <r>
      <rPr>
        <sz val="11"/>
        <color rgb="FF223449"/>
        <rFont val="Microsoft YaHei"/>
        <family val="2"/>
        <charset val="134"/>
      </rPr>
      <t>、</t>
    </r>
    <r>
      <rPr>
        <sz val="11"/>
        <color rgb="FF223449"/>
        <rFont val="Arial"/>
        <family val="2"/>
      </rPr>
      <t xml:space="preserve">FilterBar </t>
    </r>
    <r>
      <rPr>
        <sz val="11"/>
        <color rgb="FF223449"/>
        <rFont val="Microsoft YaHei"/>
        <family val="2"/>
        <charset val="134"/>
      </rPr>
      <t>引用公共类型并修复</t>
    </r>
    <r>
      <rPr>
        <sz val="11"/>
        <color rgb="FF223449"/>
        <rFont val="Arial"/>
        <family val="2"/>
      </rPr>
      <t xml:space="preserve"> mock</t>
    </r>
    <r>
      <rPr>
        <sz val="11"/>
        <color rgb="FF223449"/>
        <rFont val="Microsoft YaHei"/>
        <family val="2"/>
        <charset val="134"/>
      </rPr>
      <t>。</t>
    </r>
    <phoneticPr fontId="6" type="noConversion"/>
  </si>
  <si>
    <t>2026.10.9</t>
    <phoneticPr fontId="6" type="noConversion"/>
  </si>
  <si>
    <r>
      <rPr>
        <sz val="11"/>
        <color rgb="FF223449"/>
        <rFont val="Microsoft YaHei"/>
        <family val="2"/>
        <charset val="134"/>
      </rPr>
      <t>完成验收1.</t>
    </r>
    <r>
      <rPr>
        <sz val="11"/>
        <color rgb="FF223449"/>
        <rFont val="Calibri"/>
        <family val="2"/>
      </rPr>
      <t>npx tsc --noEmit 2.</t>
    </r>
    <r>
      <rPr>
        <sz val="11"/>
        <color rgb="FF223449"/>
        <rFont val="DengXian"/>
        <family val="2"/>
        <charset val="134"/>
      </rPr>
      <t>新增删除功能验证</t>
    </r>
    <phoneticPr fontId="6" type="noConversion"/>
  </si>
  <si>
    <t>Refactor: unify application and form input types
- Preserve the role field and existing application statuses
- Separate creation input and status filter types from application records
- Use shared types across components and mock data</t>
    <phoneticPr fontId="6" type="noConversion"/>
  </si>
  <si>
    <t>页面风格确认</t>
    <phoneticPr fontId="6" type="noConversion"/>
  </si>
  <si>
    <t>S0-03</t>
    <phoneticPr fontId="6" type="noConversion"/>
  </si>
  <si>
    <t>页面配色、交互风格、设计参考</t>
    <phoneticPr fontId="6" type="noConversion"/>
  </si>
  <si>
    <t>S0-01</t>
    <phoneticPr fontId="6" type="noConversion"/>
  </si>
  <si>
    <t>全面修改页面样式
参考https://linear.app/</t>
    <phoneticPr fontId="6" type="noConversion"/>
  </si>
  <si>
    <t>Order</t>
    <phoneticPr fontId="6" type="noConversion"/>
  </si>
  <si>
    <t>Stage</t>
    <phoneticPr fontId="6" type="noConversion"/>
  </si>
  <si>
    <t>Task No.</t>
    <phoneticPr fontId="6" type="noConversion"/>
  </si>
  <si>
    <t>Task</t>
    <phoneticPr fontId="6" type="noConversion"/>
  </si>
  <si>
    <t>Task status</t>
    <phoneticPr fontId="6" type="noConversion"/>
  </si>
  <si>
    <t>Pre-requirement</t>
    <phoneticPr fontId="6" type="noConversion"/>
  </si>
  <si>
    <t>Result</t>
    <phoneticPr fontId="6" type="noConversion"/>
  </si>
  <si>
    <r>
      <t xml:space="preserve">Git </t>
    </r>
    <r>
      <rPr>
        <b/>
        <sz val="11"/>
        <color rgb="FFFFFFFF"/>
        <rFont val="Calibri"/>
        <family val="3"/>
      </rPr>
      <t>submit</t>
    </r>
    <phoneticPr fontId="6" type="noConversion"/>
  </si>
  <si>
    <t>Finish date</t>
    <phoneticPr fontId="6" type="noConversion"/>
  </si>
  <si>
    <t>Outstanding issues</t>
    <phoneticPr fontId="6" type="noConversion"/>
  </si>
  <si>
    <t>Progress</t>
    <phoneticPr fontId="6" type="noConversion"/>
  </si>
  <si>
    <r>
      <t>1.</t>
    </r>
    <r>
      <rPr>
        <sz val="11"/>
        <color rgb="FF223449"/>
        <rFont val="DengXian"/>
        <family val="3"/>
        <charset val="134"/>
      </rPr>
      <t>安装适配</t>
    </r>
    <r>
      <rPr>
        <sz val="11"/>
        <color rgb="FF223449"/>
        <rFont val="Calibri"/>
        <family val="2"/>
      </rPr>
      <t>sass</t>
    </r>
    <r>
      <rPr>
        <sz val="11"/>
        <color rgb="FF223449"/>
        <rFont val="DengXian"/>
        <family val="3"/>
        <charset val="134"/>
      </rPr>
      <t>依赖</t>
    </r>
    <r>
      <rPr>
        <sz val="11"/>
        <color rgb="FF223449"/>
        <rFont val="Noto Sans CJK SC"/>
      </rPr>
      <t xml:space="preserve">
2.</t>
    </r>
    <r>
      <rPr>
        <sz val="11"/>
        <color rgb="FF223449"/>
        <rFont val="DengXian"/>
        <family val="3"/>
        <charset val="134"/>
      </rPr>
      <t>设置全局颜色到</t>
    </r>
    <r>
      <rPr>
        <sz val="11"/>
        <color rgb="FF223449"/>
        <rFont val="Calibri"/>
        <family val="2"/>
      </rPr>
      <t>global.scss</t>
    </r>
    <r>
      <rPr>
        <sz val="11"/>
        <color rgb="FF223449"/>
        <rFont val="DengXian"/>
        <family val="3"/>
        <charset val="134"/>
      </rPr>
      <t>、</t>
    </r>
    <r>
      <rPr>
        <sz val="11"/>
        <color rgb="FF223449"/>
        <rFont val="Calibri"/>
        <family val="2"/>
      </rPr>
      <t>_token.scss</t>
    </r>
    <r>
      <rPr>
        <sz val="11"/>
        <color rgb="FF223449"/>
        <rFont val="DengXian"/>
        <family val="3"/>
        <charset val="134"/>
      </rPr>
      <t>、</t>
    </r>
    <r>
      <rPr>
        <sz val="11"/>
        <color rgb="FF223449"/>
        <rFont val="Calibri"/>
        <family val="2"/>
      </rPr>
      <t>_mixin.scss</t>
    </r>
    <r>
      <rPr>
        <sz val="11"/>
        <color rgb="FF223449"/>
        <rFont val="DengXian"/>
        <family val="2"/>
        <charset val="134"/>
      </rPr>
      <t>等中
3.遍历所有组件，按</t>
    </r>
    <r>
      <rPr>
        <sz val="11"/>
        <color rgb="FF223449"/>
        <rFont val="Calibri"/>
        <family val="2"/>
      </rPr>
      <t>scss</t>
    </r>
    <r>
      <rPr>
        <sz val="11"/>
        <color rgb="FF223449"/>
        <rFont val="DengXian"/>
        <family val="2"/>
        <charset val="134"/>
      </rPr>
      <t>方式配套层叠样式表
4.分离</t>
    </r>
    <r>
      <rPr>
        <sz val="11"/>
        <color rgb="FF223449"/>
        <rFont val="Calibri"/>
        <family val="2"/>
      </rPr>
      <t>add application</t>
    </r>
    <r>
      <rPr>
        <sz val="11"/>
        <color rgb="FF223449"/>
        <rFont val="DengXian"/>
        <family val="2"/>
        <charset val="134"/>
      </rPr>
      <t>到弹窗(用</t>
    </r>
    <r>
      <rPr>
        <sz val="11"/>
        <color rgb="FF223449"/>
        <rFont val="Calibri"/>
        <family val="2"/>
      </rPr>
      <t>radix-ui</t>
    </r>
    <r>
      <rPr>
        <sz val="11"/>
        <color rgb="FF223449"/>
        <rFont val="DengXian"/>
        <family val="2"/>
        <charset val="134"/>
      </rPr>
      <t>库封装</t>
    </r>
    <r>
      <rPr>
        <sz val="11"/>
        <color rgb="FF223449"/>
        <rFont val="Calibri"/>
        <family val="2"/>
      </rPr>
      <t>modal</t>
    </r>
    <r>
      <rPr>
        <sz val="11"/>
        <color rgb="FF223449"/>
        <rFont val="DengXian"/>
        <family val="2"/>
        <charset val="134"/>
      </rPr>
      <t>)</t>
    </r>
    <r>
      <rPr>
        <sz val="11"/>
        <color rgb="FF223449"/>
        <rFont val="Noto Sans CJK SC"/>
      </rPr>
      <t xml:space="preserve">
5.</t>
    </r>
    <r>
      <rPr>
        <sz val="11"/>
        <color rgb="FF223449"/>
        <rFont val="DengXian"/>
        <family val="3"/>
        <charset val="134"/>
      </rPr>
      <t>修改</t>
    </r>
    <r>
      <rPr>
        <sz val="11"/>
        <color rgb="FF223449"/>
        <rFont val="Calibri"/>
        <family val="2"/>
      </rPr>
      <t>ApplicationForm</t>
    </r>
    <r>
      <rPr>
        <sz val="11"/>
        <color rgb="FF223449"/>
        <rFont val="DengXian"/>
        <family val="3"/>
        <charset val="134"/>
      </rPr>
      <t>表单为</t>
    </r>
    <r>
      <rPr>
        <sz val="11"/>
        <color rgb="FF223449"/>
        <rFont val="Calibri"/>
        <family val="2"/>
      </rPr>
      <t>scss</t>
    </r>
    <phoneticPr fontId="6" type="noConversion"/>
  </si>
  <si>
    <t>S0-03 refactor: migrate UI styles to SCSS and organize applications layout
S0-03 feat: add application modal and unify styles with SCSS
- Add Sass support and shared design tokens and mixins
- Migrate component styles to SCSS with BEM naming
- Move the application form into a reusable Radix UI modal
- Support form submission through the submit button and Enter key</t>
    <phoneticPr fontId="6" type="noConversion"/>
  </si>
  <si>
    <r>
      <rPr>
        <sz val="10"/>
        <color rgb="FF526579"/>
        <rFont val="Microsoft YaHei"/>
        <family val="2"/>
        <charset val="134"/>
      </rPr>
      <t>点击</t>
    </r>
    <r>
      <rPr>
        <sz val="10"/>
        <color rgb="FF526579"/>
        <rFont val="Arial"/>
        <family val="2"/>
      </rPr>
      <t xml:space="preserve"> E </t>
    </r>
    <r>
      <rPr>
        <sz val="10"/>
        <color rgb="FF526579"/>
        <rFont val="Microsoft YaHei"/>
        <family val="2"/>
        <charset val="134"/>
      </rPr>
      <t>列单元格选择状态；仅在验收通过后选择</t>
    </r>
    <r>
      <rPr>
        <sz val="10"/>
        <color rgb="FF526579"/>
        <rFont val="DengXian"/>
        <family val="2"/>
        <charset val="134"/>
      </rPr>
      <t>“</t>
    </r>
    <r>
      <rPr>
        <sz val="10"/>
        <color rgb="FF526579"/>
        <rFont val="Microsoft YaHei"/>
        <family val="2"/>
        <charset val="134"/>
      </rPr>
      <t>已验收</t>
    </r>
    <r>
      <rPr>
        <sz val="10"/>
        <color rgb="FF526579"/>
        <rFont val="DengXian"/>
        <family val="2"/>
        <charset val="134"/>
      </rPr>
      <t>”</t>
    </r>
    <r>
      <rPr>
        <sz val="10"/>
        <color rgb="FF526579"/>
        <rFont val="Microsoft YaHei"/>
        <family val="2"/>
        <charset val="134"/>
      </rPr>
      <t>。筛选表头可按阶段或状态查看。</t>
    </r>
    <phoneticPr fontId="6" type="noConversion"/>
  </si>
  <si>
    <r>
      <rPr>
        <sz val="10"/>
        <color rgb="FF526579"/>
        <rFont val="DengXian"/>
        <family val="3"/>
        <charset val="134"/>
      </rPr>
      <t>来源：需求文档</t>
    </r>
    <r>
      <rPr>
        <sz val="10"/>
        <color rgb="FF526579"/>
        <rFont val="Calibri"/>
        <family val="2"/>
      </rPr>
      <t xml:space="preserve"> v1.1</t>
    </r>
    <r>
      <rPr>
        <sz val="10"/>
        <color rgb="FF526579"/>
        <rFont val="DengXian"/>
        <family val="3"/>
        <charset val="134"/>
      </rPr>
      <t>（第</t>
    </r>
    <r>
      <rPr>
        <sz val="10"/>
        <color rgb="FF526579"/>
        <rFont val="Calibri"/>
        <family val="2"/>
      </rPr>
      <t>12–27</t>
    </r>
    <r>
      <rPr>
        <sz val="10"/>
        <color rgb="FF526579"/>
        <rFont val="DengXian"/>
        <family val="3"/>
        <charset val="134"/>
      </rPr>
      <t>页）及</t>
    </r>
    <r>
      <rPr>
        <sz val="10"/>
        <color rgb="FF526579"/>
        <rFont val="Calibri"/>
        <family val="2"/>
      </rPr>
      <t xml:space="preserve"> development-checklist.md</t>
    </r>
    <r>
      <rPr>
        <sz val="10"/>
        <color rgb="FF526579"/>
        <rFont val="DengXian"/>
        <family val="3"/>
        <charset val="134"/>
      </rPr>
      <t>；</t>
    </r>
    <r>
      <rPr>
        <sz val="10"/>
        <color rgb="FF526579"/>
        <rFont val="Calibri"/>
        <family val="2"/>
      </rPr>
      <t xml:space="preserve">2026-10-04 </t>
    </r>
    <r>
      <rPr>
        <sz val="10"/>
        <color rgb="FF526579"/>
        <rFont val="DengXian"/>
        <family val="3"/>
        <charset val="134"/>
      </rPr>
      <t>记录，尚未核实的实现保留待复核。</t>
    </r>
    <phoneticPr fontId="6" type="noConversion"/>
  </si>
  <si>
    <t>2026.10.10</t>
    <phoneticPr fontId="6" type="noConversion"/>
  </si>
  <si>
    <r>
      <rPr>
        <sz val="11"/>
        <color rgb="FF223449"/>
        <rFont val="DengXian"/>
        <family val="2"/>
        <charset val="134"/>
      </rPr>
      <t>选择</t>
    </r>
    <r>
      <rPr>
        <sz val="11"/>
        <color rgb="FF223449"/>
        <rFont val="Calibri"/>
        <family val="2"/>
      </rPr>
      <t>Linear</t>
    </r>
    <r>
      <rPr>
        <sz val="11"/>
        <color rgb="FF223449"/>
        <rFont val="DengXian"/>
        <family val="2"/>
        <charset val="134"/>
      </rPr>
      <t>类似的全局样式</t>
    </r>
    <r>
      <rPr>
        <sz val="11"/>
        <color rgb="FF223449"/>
        <rFont val="Noto Sans CJK SC"/>
        <family val="2"/>
        <charset val="134"/>
      </rPr>
      <t xml:space="preserve">
</t>
    </r>
    <r>
      <rPr>
        <sz val="11"/>
        <color rgb="FF223449"/>
        <rFont val="DengXian"/>
        <family val="2"/>
        <charset val="134"/>
      </rPr>
      <t>引入</t>
    </r>
    <r>
      <rPr>
        <sz val="11"/>
        <color rgb="FF223449"/>
        <rFont val="Calibri"/>
        <family val="2"/>
      </rPr>
      <t>SCSS</t>
    </r>
    <r>
      <rPr>
        <sz val="11"/>
        <color rgb="FF223449"/>
        <rFont val="DengXian"/>
        <family val="2"/>
        <charset val="134"/>
      </rPr>
      <t>样式模式
对应修改每一个组件的样式，包括引入</t>
    </r>
    <r>
      <rPr>
        <sz val="11"/>
        <color rgb="FF223449"/>
        <rFont val="Calibri"/>
        <family val="2"/>
      </rPr>
      <t>radix-ui</t>
    </r>
    <r>
      <rPr>
        <sz val="11"/>
        <color rgb="FF223449"/>
        <rFont val="DengXian"/>
        <family val="2"/>
        <charset val="134"/>
      </rPr>
      <t>用于</t>
    </r>
    <r>
      <rPr>
        <sz val="11"/>
        <color rgb="FF223449"/>
        <rFont val="Calibri"/>
        <family val="2"/>
      </rPr>
      <t>modal</t>
    </r>
    <r>
      <rPr>
        <sz val="11"/>
        <color rgb="FF223449"/>
        <rFont val="DengXian"/>
        <family val="2"/>
        <charset val="134"/>
      </rPr>
      <t>封装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</si>
</sst>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3">
    <font>
      <sz val="11"/>
      <name val="Carlito"/>
    </font>
    <font>
      <sz val="11"/>
      <color rgb="FF223449"/>
      <name val="Noto Sans CJK SC"/>
    </font>
    <font>
      <b/>
      <sz val="16"/>
      <color rgb="FF223449"/>
      <name val="Noto Sans CJK SC"/>
    </font>
    <font>
      <sz val="10"/>
      <color rgb="FF526579"/>
      <name val="Noto Sans CJK SC"/>
    </font>
    <font>
      <b/>
      <sz val="11"/>
      <color rgb="FFFFFFFF"/>
      <name val="Noto Sans CJK SC"/>
    </font>
    <font>
      <sz val="11"/>
      <name val="Carlito"/>
    </font>
    <font>
      <sz val="9"/>
      <name val="DengXian"/>
      <family val="3"/>
      <charset val="134"/>
    </font>
    <font>
      <sz val="11"/>
      <color rgb="FF223449"/>
      <name val="DengXian"/>
      <family val="3"/>
      <charset val="134"/>
    </font>
    <font>
      <b/>
      <sz val="11"/>
      <color rgb="FFFFFFFF"/>
      <name val="DengXian"/>
      <family val="3"/>
      <charset val="134"/>
    </font>
    <font>
      <sz val="11"/>
      <color rgb="FF223449"/>
      <name val="Microsoft YaHei"/>
      <family val="2"/>
      <charset val="134"/>
    </font>
    <font>
      <sz val="11"/>
      <color rgb="FF223449"/>
      <name val="Calibri"/>
      <family val="2"/>
    </font>
    <font>
      <sz val="11"/>
      <color rgb="FF223449"/>
      <name val="Arial"/>
      <family val="2"/>
    </font>
    <font>
      <sz val="11"/>
      <color rgb="FF223449"/>
      <name val="DengXian"/>
      <family val="2"/>
      <charset val="134"/>
    </font>
    <font>
      <sz val="11"/>
      <color rgb="FF223449"/>
      <name val="Noto Sans CJK SC"/>
      <family val="2"/>
      <charset val="134"/>
    </font>
    <font>
      <b/>
      <sz val="11"/>
      <color rgb="FFFFFFFF"/>
      <name val="Calibri"/>
      <family val="2"/>
    </font>
    <font>
      <b/>
      <sz val="11"/>
      <color rgb="FFFFFFFF"/>
      <name val="Calibri"/>
      <family val="3"/>
    </font>
    <font>
      <sz val="10"/>
      <color rgb="FF526579"/>
      <name val="Microsoft YaHei"/>
      <family val="2"/>
      <charset val="134"/>
    </font>
    <font>
      <sz val="10"/>
      <color rgb="FF526579"/>
      <name val="Arial"/>
      <family val="2"/>
    </font>
    <font>
      <sz val="10"/>
      <color rgb="FF526579"/>
      <name val="Noto Sans CJK SC"/>
      <family val="2"/>
      <charset val="134"/>
    </font>
    <font>
      <sz val="10"/>
      <color rgb="FF526579"/>
      <name val="DengXian"/>
      <family val="2"/>
      <charset val="134"/>
    </font>
    <font>
      <sz val="10"/>
      <color rgb="FF526579"/>
      <name val="DengXian"/>
      <family val="3"/>
      <charset val="134"/>
    </font>
    <font>
      <sz val="10"/>
      <color rgb="FF526579"/>
      <name val="Calibri"/>
      <family val="2"/>
    </font>
    <font>
      <sz val="10"/>
      <color rgb="FF526579"/>
      <name val="Noto Sans CJK SC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AF0F5"/>
      </patternFill>
    </fill>
    <fill>
      <patternFill patternType="solid">
        <fgColor rgb="FF243B53"/>
      </patternFill>
    </fill>
    <fill>
      <patternFill patternType="solid">
        <fgColor rgb="FFFFF6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9" fontId="1" fillId="2" borderId="0" xfId="1" applyNumberFormat="1" applyFont="1" applyFill="1" applyAlignment="1">
      <alignment vertical="center"/>
    </xf>
    <xf numFmtId="0" fontId="4" fillId="3" borderId="0" xfId="1" applyFont="1" applyFill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4" borderId="0" xfId="1" applyFont="1" applyFill="1" applyAlignment="1">
      <alignment vertical="center" wrapText="1"/>
    </xf>
    <xf numFmtId="176" fontId="1" fillId="4" borderId="0" xfId="1" applyNumberFormat="1" applyFont="1" applyFill="1" applyAlignment="1">
      <alignment vertical="center" wrapText="1"/>
    </xf>
    <xf numFmtId="0" fontId="1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7" fillId="0" borderId="0" xfId="1" applyFont="1" applyAlignment="1">
      <alignment vertical="center" wrapText="1"/>
    </xf>
    <xf numFmtId="0" fontId="8" fillId="3" borderId="0" xfId="1" applyFont="1" applyFill="1" applyAlignment="1">
      <alignment horizontal="center" vertical="center"/>
    </xf>
    <xf numFmtId="0" fontId="7" fillId="4" borderId="0" xfId="1" applyFont="1" applyFill="1" applyAlignment="1">
      <alignment vertical="center" wrapText="1"/>
    </xf>
    <xf numFmtId="0" fontId="9" fillId="0" borderId="0" xfId="1" applyFont="1" applyAlignment="1">
      <alignment vertical="top" wrapText="1"/>
    </xf>
    <xf numFmtId="0" fontId="13" fillId="0" borderId="0" xfId="1" applyFont="1" applyAlignment="1">
      <alignment vertical="center" wrapText="1"/>
    </xf>
    <xf numFmtId="0" fontId="7" fillId="0" borderId="0" xfId="1" applyFont="1" applyAlignment="1">
      <alignment vertical="top" wrapText="1"/>
    </xf>
    <xf numFmtId="0" fontId="14" fillId="3" borderId="0" xfId="1" applyFont="1" applyFill="1" applyAlignment="1">
      <alignment horizontal="center" vertical="center"/>
    </xf>
    <xf numFmtId="0" fontId="18" fillId="0" borderId="0" xfId="1" applyFont="1" applyAlignment="1">
      <alignment vertical="center"/>
    </xf>
    <xf numFmtId="0" fontId="22" fillId="0" borderId="0" xfId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18">
    <dxf>
      <font>
        <b/>
        <color rgb="FF666666"/>
      </font>
      <fill>
        <patternFill patternType="solid">
          <bgColor rgb="FFE8E8E8"/>
        </patternFill>
      </fill>
    </dxf>
    <dxf>
      <font>
        <b/>
        <color rgb="FF236A3B"/>
      </font>
      <fill>
        <patternFill patternType="solid">
          <bgColor rgb="FFDDF1E4"/>
        </patternFill>
      </fill>
    </dxf>
    <dxf>
      <font>
        <b/>
        <color rgb="FF663F91"/>
      </font>
      <fill>
        <patternFill patternType="solid">
          <bgColor rgb="FFEEE5FF"/>
        </patternFill>
      </fill>
    </dxf>
    <dxf>
      <font>
        <b/>
        <color rgb="FF174C91"/>
      </font>
      <fill>
        <patternFill patternType="solid">
          <bgColor rgb="FFDDEBFF"/>
        </patternFill>
      </fill>
    </dxf>
    <dxf>
      <font>
        <b/>
        <color rgb="FF775800"/>
      </font>
      <fill>
        <patternFill patternType="solid">
          <bgColor rgb="FFFFF0C2"/>
        </patternFill>
      </fill>
    </dxf>
    <dxf>
      <font>
        <b/>
        <color rgb="FF526579"/>
      </font>
      <fill>
        <patternFill patternType="solid">
          <bgColor rgb="FFEDF1F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TrackerTasks" displayName="JobTrackerTasks" ref="A6:K52" totalsRowShown="0" dataDxfId="17">
  <autoFilter ref="A6:K52" xr:uid="{00000000-0009-0000-0100-000001000000}"/>
  <tableColumns count="11">
    <tableColumn id="1" xr3:uid="{00000000-0010-0000-0000-000001000000}" name="Order" dataDxfId="16"/>
    <tableColumn id="2" xr3:uid="{00000000-0010-0000-0000-000002000000}" name="Stage" dataDxfId="15"/>
    <tableColumn id="3" xr3:uid="{00000000-0010-0000-0000-000003000000}" name="Task No." dataDxfId="14"/>
    <tableColumn id="4" xr3:uid="{00000000-0010-0000-0000-000004000000}" name="Task" dataDxfId="13"/>
    <tableColumn id="5" xr3:uid="{00000000-0010-0000-0000-000005000000}" name="Task status" dataDxfId="12"/>
    <tableColumn id="6" xr3:uid="{00000000-0010-0000-0000-000006000000}" name="Pre-requirement" dataDxfId="11"/>
    <tableColumn id="7" xr3:uid="{00000000-0010-0000-0000-000007000000}" name="Result" dataDxfId="10"/>
    <tableColumn id="8" xr3:uid="{00000000-0010-0000-0000-000008000000}" name="Git submit" dataDxfId="9"/>
    <tableColumn id="9" xr3:uid="{00000000-0010-0000-0000-000009000000}" name="Finish date" dataDxfId="8"/>
    <tableColumn id="10" xr3:uid="{00000000-0010-0000-0000-00000A000000}" name="Outstanding issues" dataDxfId="7"/>
    <tableColumn id="11" xr3:uid="{00000000-0010-0000-0000-00000B000000}" name="Progres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obTrackerDetails" displayName="JobTrackerDetails" ref="A5:H51" totalsRowShown="0">
  <autoFilter ref="A5:H51" xr:uid="{00000000-0009-0000-0100-000002000000}"/>
  <tableColumns count="8">
    <tableColumn id="1" xr3:uid="{00000000-0010-0000-0100-000001000000}" name="任务编号"/>
    <tableColumn id="2" xr3:uid="{00000000-0010-0000-0100-000002000000}" name="任务名称"/>
    <tableColumn id="3" xr3:uid="{00000000-0010-0000-0100-000003000000}" name="涉及文件 / 位置"/>
    <tableColumn id="4" xr3:uid="{00000000-0010-0000-0100-000004000000}" name="需求效果"/>
    <tableColumn id="5" xr3:uid="{00000000-0010-0000-0100-000005000000}" name="实施步骤"/>
    <tableColumn id="6" xr3:uid="{00000000-0010-0000-0100-000006000000}" name="验收标准"/>
    <tableColumn id="7" xr3:uid="{00000000-0010-0000-0100-000007000000}" name="需要掌握"/>
    <tableColumn id="8" xr3:uid="{00000000-0010-0000-0100-000008000000}" name="任务类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K52"/>
  <sheetViews>
    <sheetView showGridLines="0" tabSelected="1" workbookViewId="0">
      <pane xSplit="5" ySplit="6" topLeftCell="F7" activePane="bottomRight" state="frozen"/>
      <selection pane="topRight"/>
      <selection pane="bottomLeft"/>
      <selection pane="bottomRight" activeCell="K10" sqref="K10"/>
    </sheetView>
  </sheetViews>
  <sheetFormatPr defaultRowHeight="14.25"/>
  <cols>
    <col min="1" max="1" width="7.125" customWidth="1"/>
    <col min="2" max="2" width="14.25" customWidth="1"/>
    <col min="3" max="3" width="7.5" customWidth="1"/>
    <col min="4" max="4" width="25.5" customWidth="1"/>
    <col min="5" max="5" width="14" customWidth="1"/>
    <col min="6" max="6" width="15.125" customWidth="1"/>
    <col min="7" max="7" width="10.375" customWidth="1"/>
    <col min="8" max="8" width="36" customWidth="1"/>
    <col min="9" max="9" width="9.5" customWidth="1"/>
    <col min="10" max="10" width="19.25" customWidth="1"/>
    <col min="11" max="11" width="4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21" t="s">
        <v>393</v>
      </c>
      <c r="B3" s="3"/>
      <c r="C3" s="3"/>
      <c r="D3" s="3"/>
      <c r="E3" s="3"/>
      <c r="F3" s="22" t="s">
        <v>394</v>
      </c>
      <c r="G3" s="3"/>
      <c r="H3" s="3"/>
      <c r="I3" s="3"/>
      <c r="J3" s="3"/>
      <c r="K3" s="3"/>
    </row>
    <row r="4" spans="1:11" ht="26.1" customHeight="1">
      <c r="A4" s="4" t="s">
        <v>1</v>
      </c>
      <c r="B4" s="4">
        <f>COUNTA(C7:C52)</f>
        <v>46</v>
      </c>
      <c r="C4" s="4" t="s">
        <v>2</v>
      </c>
      <c r="D4" s="4">
        <f>COUNTIFS(E7:E52,"已验收")</f>
        <v>3</v>
      </c>
      <c r="E4" s="4" t="s">
        <v>3</v>
      </c>
      <c r="F4" s="5">
        <f>D4/B4</f>
        <v>6.5217391304347824E-2</v>
      </c>
      <c r="G4" s="4" t="s">
        <v>4</v>
      </c>
      <c r="H4" s="4">
        <f>COUNTIFS(E7:E52,"开发中")</f>
        <v>1</v>
      </c>
      <c r="I4" s="4" t="s">
        <v>5</v>
      </c>
      <c r="J4" s="4">
        <f>COUNTIFS(E7:E52,"待复核")</f>
        <v>0</v>
      </c>
      <c r="K4" s="4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0" customHeight="1">
      <c r="A6" s="20" t="s">
        <v>380</v>
      </c>
      <c r="B6" s="20" t="s">
        <v>381</v>
      </c>
      <c r="C6" s="20" t="s">
        <v>382</v>
      </c>
      <c r="D6" s="20" t="s">
        <v>383</v>
      </c>
      <c r="E6" s="20" t="s">
        <v>384</v>
      </c>
      <c r="F6" s="20" t="s">
        <v>385</v>
      </c>
      <c r="G6" s="15" t="s">
        <v>386</v>
      </c>
      <c r="H6" s="6" t="s">
        <v>387</v>
      </c>
      <c r="I6" s="15" t="s">
        <v>388</v>
      </c>
      <c r="J6" s="15" t="s">
        <v>389</v>
      </c>
      <c r="K6" s="20" t="s">
        <v>390</v>
      </c>
    </row>
    <row r="7" spans="1:11" ht="68.25" customHeight="1">
      <c r="A7" s="7">
        <v>1</v>
      </c>
      <c r="B7" s="7" t="s">
        <v>8</v>
      </c>
      <c r="C7" s="7" t="s">
        <v>9</v>
      </c>
      <c r="D7" s="7" t="s">
        <v>10</v>
      </c>
      <c r="E7" s="8" t="s">
        <v>2</v>
      </c>
      <c r="F7" s="8" t="s">
        <v>11</v>
      </c>
      <c r="G7" s="16" t="s">
        <v>362</v>
      </c>
      <c r="H7" s="8" t="s">
        <v>364</v>
      </c>
      <c r="I7" s="9" t="s">
        <v>360</v>
      </c>
      <c r="J7" s="16" t="s">
        <v>363</v>
      </c>
      <c r="K7" s="14" t="s">
        <v>361</v>
      </c>
    </row>
    <row r="8" spans="1:11" ht="44.1" customHeight="1">
      <c r="A8" s="7">
        <v>2</v>
      </c>
      <c r="B8" s="7" t="s">
        <v>8</v>
      </c>
      <c r="C8" s="7" t="s">
        <v>13</v>
      </c>
      <c r="D8" s="7" t="s">
        <v>14</v>
      </c>
      <c r="E8" s="8" t="s">
        <v>2</v>
      </c>
      <c r="F8" s="8" t="s">
        <v>378</v>
      </c>
      <c r="G8" s="16" t="s">
        <v>362</v>
      </c>
      <c r="H8" s="8" t="s">
        <v>367</v>
      </c>
      <c r="I8" s="9" t="s">
        <v>368</v>
      </c>
      <c r="J8" s="16" t="s">
        <v>365</v>
      </c>
      <c r="K8" s="14" t="s">
        <v>366</v>
      </c>
    </row>
    <row r="9" spans="1:11" ht="122.25" customHeight="1">
      <c r="A9" s="7">
        <v>3</v>
      </c>
      <c r="B9" s="7" t="s">
        <v>15</v>
      </c>
      <c r="C9" s="7" t="s">
        <v>16</v>
      </c>
      <c r="D9" s="7" t="s">
        <v>17</v>
      </c>
      <c r="E9" s="8" t="s">
        <v>2</v>
      </c>
      <c r="F9" s="8" t="s">
        <v>13</v>
      </c>
      <c r="G9" s="16" t="s">
        <v>362</v>
      </c>
      <c r="H9" s="8" t="s">
        <v>374</v>
      </c>
      <c r="I9" s="9" t="s">
        <v>372</v>
      </c>
      <c r="J9" s="16" t="s">
        <v>363</v>
      </c>
      <c r="K9" s="18" t="s">
        <v>373</v>
      </c>
    </row>
    <row r="10" spans="1:11" ht="195" customHeight="1">
      <c r="A10" s="7">
        <v>0</v>
      </c>
      <c r="B10" s="14" t="s">
        <v>375</v>
      </c>
      <c r="C10" s="7" t="s">
        <v>376</v>
      </c>
      <c r="D10" s="14" t="s">
        <v>377</v>
      </c>
      <c r="E10" s="8" t="s">
        <v>4</v>
      </c>
      <c r="F10" s="8" t="s">
        <v>378</v>
      </c>
      <c r="G10" s="16" t="s">
        <v>362</v>
      </c>
      <c r="H10" s="8" t="s">
        <v>392</v>
      </c>
      <c r="I10" s="9" t="s">
        <v>395</v>
      </c>
      <c r="J10" s="16" t="s">
        <v>363</v>
      </c>
      <c r="K10" s="18" t="s">
        <v>396</v>
      </c>
    </row>
    <row r="11" spans="1:11" ht="42" customHeight="1">
      <c r="A11" s="7">
        <v>4</v>
      </c>
      <c r="B11" s="7" t="s">
        <v>15</v>
      </c>
      <c r="C11" s="7" t="s">
        <v>18</v>
      </c>
      <c r="D11" s="7" t="s">
        <v>19</v>
      </c>
      <c r="E11" s="8" t="s">
        <v>37</v>
      </c>
      <c r="F11" s="8" t="s">
        <v>16</v>
      </c>
      <c r="G11" s="8"/>
      <c r="H11" s="8"/>
      <c r="I11" s="9"/>
      <c r="J11" s="8"/>
      <c r="K11" s="7" t="s">
        <v>20</v>
      </c>
    </row>
    <row r="12" spans="1:11" ht="42" customHeight="1">
      <c r="A12" s="7">
        <v>5</v>
      </c>
      <c r="B12" s="7" t="s">
        <v>15</v>
      </c>
      <c r="C12" s="7" t="s">
        <v>21</v>
      </c>
      <c r="D12" s="7" t="s">
        <v>22</v>
      </c>
      <c r="E12" s="8" t="s">
        <v>37</v>
      </c>
      <c r="F12" s="8" t="s">
        <v>18</v>
      </c>
      <c r="G12" s="8"/>
      <c r="H12" s="8"/>
      <c r="I12" s="9"/>
      <c r="J12" s="8"/>
      <c r="K12" s="7" t="s">
        <v>12</v>
      </c>
    </row>
    <row r="13" spans="1:11" ht="42" customHeight="1">
      <c r="A13" s="7">
        <v>6</v>
      </c>
      <c r="B13" s="7" t="s">
        <v>15</v>
      </c>
      <c r="C13" s="7" t="s">
        <v>23</v>
      </c>
      <c r="D13" s="7" t="s">
        <v>24</v>
      </c>
      <c r="E13" s="8" t="s">
        <v>37</v>
      </c>
      <c r="F13" s="8" t="s">
        <v>21</v>
      </c>
      <c r="G13" s="8"/>
      <c r="H13" s="8"/>
      <c r="I13" s="9"/>
      <c r="J13" s="8"/>
      <c r="K13" s="7" t="s">
        <v>12</v>
      </c>
    </row>
    <row r="14" spans="1:11" ht="42" customHeight="1">
      <c r="A14" s="7">
        <v>7</v>
      </c>
      <c r="B14" s="7" t="s">
        <v>15</v>
      </c>
      <c r="C14" s="7" t="s">
        <v>25</v>
      </c>
      <c r="D14" s="7" t="s">
        <v>26</v>
      </c>
      <c r="E14" s="8" t="s">
        <v>37</v>
      </c>
      <c r="F14" s="8" t="s">
        <v>21</v>
      </c>
      <c r="G14" s="8"/>
      <c r="H14" s="8"/>
      <c r="I14" s="9"/>
      <c r="J14" s="8"/>
      <c r="K14" s="7" t="s">
        <v>12</v>
      </c>
    </row>
    <row r="15" spans="1:11" ht="42" customHeight="1">
      <c r="A15" s="7">
        <v>8</v>
      </c>
      <c r="B15" s="7" t="s">
        <v>15</v>
      </c>
      <c r="C15" s="7" t="s">
        <v>27</v>
      </c>
      <c r="D15" s="7" t="s">
        <v>28</v>
      </c>
      <c r="E15" s="8" t="s">
        <v>37</v>
      </c>
      <c r="F15" s="8" t="s">
        <v>25</v>
      </c>
      <c r="G15" s="8"/>
      <c r="H15" s="8"/>
      <c r="I15" s="9"/>
      <c r="J15" s="8"/>
      <c r="K15" s="7" t="s">
        <v>12</v>
      </c>
    </row>
    <row r="16" spans="1:11" ht="42" customHeight="1">
      <c r="A16" s="7">
        <v>9</v>
      </c>
      <c r="B16" s="7" t="s">
        <v>15</v>
      </c>
      <c r="C16" s="7" t="s">
        <v>29</v>
      </c>
      <c r="D16" s="7" t="s">
        <v>30</v>
      </c>
      <c r="E16" s="8" t="s">
        <v>37</v>
      </c>
      <c r="F16" s="8" t="s">
        <v>27</v>
      </c>
      <c r="G16" s="8"/>
      <c r="H16" s="8"/>
      <c r="I16" s="9"/>
      <c r="J16" s="8"/>
      <c r="K16" s="7" t="s">
        <v>12</v>
      </c>
    </row>
    <row r="17" spans="1:11" ht="42" customHeight="1">
      <c r="A17" s="7">
        <v>10</v>
      </c>
      <c r="B17" s="7" t="s">
        <v>15</v>
      </c>
      <c r="C17" s="7" t="s">
        <v>31</v>
      </c>
      <c r="D17" s="7" t="s">
        <v>32</v>
      </c>
      <c r="E17" s="8" t="s">
        <v>37</v>
      </c>
      <c r="F17" s="8" t="s">
        <v>33</v>
      </c>
      <c r="G17" s="8"/>
      <c r="H17" s="8"/>
      <c r="I17" s="9"/>
      <c r="J17" s="8"/>
      <c r="K17" s="7" t="s">
        <v>12</v>
      </c>
    </row>
    <row r="18" spans="1:11" ht="42" customHeight="1">
      <c r="A18" s="7">
        <v>11</v>
      </c>
      <c r="B18" s="7" t="s">
        <v>34</v>
      </c>
      <c r="C18" s="7" t="s">
        <v>35</v>
      </c>
      <c r="D18" s="7" t="s">
        <v>36</v>
      </c>
      <c r="E18" s="8" t="s">
        <v>37</v>
      </c>
      <c r="F18" s="8" t="s">
        <v>31</v>
      </c>
      <c r="G18" s="8"/>
      <c r="H18" s="8"/>
      <c r="I18" s="9"/>
      <c r="J18" s="8"/>
      <c r="K18" s="7" t="s">
        <v>38</v>
      </c>
    </row>
    <row r="19" spans="1:11" ht="42" customHeight="1">
      <c r="A19" s="7">
        <v>12</v>
      </c>
      <c r="B19" s="7" t="s">
        <v>34</v>
      </c>
      <c r="C19" s="7" t="s">
        <v>39</v>
      </c>
      <c r="D19" s="7" t="s">
        <v>40</v>
      </c>
      <c r="E19" s="8" t="s">
        <v>37</v>
      </c>
      <c r="F19" s="8" t="s">
        <v>35</v>
      </c>
      <c r="G19" s="8"/>
      <c r="H19" s="8"/>
      <c r="I19" s="9"/>
      <c r="J19" s="8"/>
      <c r="K19" s="7" t="s">
        <v>38</v>
      </c>
    </row>
    <row r="20" spans="1:11" ht="42" customHeight="1">
      <c r="A20" s="7">
        <v>13</v>
      </c>
      <c r="B20" s="7" t="s">
        <v>34</v>
      </c>
      <c r="C20" s="7" t="s">
        <v>41</v>
      </c>
      <c r="D20" s="7" t="s">
        <v>42</v>
      </c>
      <c r="E20" s="8" t="s">
        <v>37</v>
      </c>
      <c r="F20" s="8" t="s">
        <v>35</v>
      </c>
      <c r="G20" s="8"/>
      <c r="H20" s="8"/>
      <c r="I20" s="9"/>
      <c r="J20" s="8"/>
      <c r="K20" s="7" t="s">
        <v>38</v>
      </c>
    </row>
    <row r="21" spans="1:11" ht="42" customHeight="1">
      <c r="A21" s="7">
        <v>14</v>
      </c>
      <c r="B21" s="7" t="s">
        <v>34</v>
      </c>
      <c r="C21" s="7" t="s">
        <v>43</v>
      </c>
      <c r="D21" s="7" t="s">
        <v>44</v>
      </c>
      <c r="E21" s="8" t="s">
        <v>37</v>
      </c>
      <c r="F21" s="8" t="s">
        <v>45</v>
      </c>
      <c r="G21" s="8"/>
      <c r="H21" s="8"/>
      <c r="I21" s="9"/>
      <c r="J21" s="8"/>
      <c r="K21" s="7" t="s">
        <v>38</v>
      </c>
    </row>
    <row r="22" spans="1:11" ht="42" customHeight="1">
      <c r="A22" s="7">
        <v>15</v>
      </c>
      <c r="B22" s="7" t="s">
        <v>34</v>
      </c>
      <c r="C22" s="7" t="s">
        <v>46</v>
      </c>
      <c r="D22" s="7" t="s">
        <v>47</v>
      </c>
      <c r="E22" s="8" t="s">
        <v>37</v>
      </c>
      <c r="F22" s="8" t="s">
        <v>43</v>
      </c>
      <c r="G22" s="8"/>
      <c r="H22" s="8"/>
      <c r="I22" s="9"/>
      <c r="J22" s="8"/>
      <c r="K22" s="7" t="s">
        <v>38</v>
      </c>
    </row>
    <row r="23" spans="1:11" ht="42" customHeight="1">
      <c r="A23" s="7">
        <v>16</v>
      </c>
      <c r="B23" s="7" t="s">
        <v>34</v>
      </c>
      <c r="C23" s="7" t="s">
        <v>48</v>
      </c>
      <c r="D23" s="7" t="s">
        <v>49</v>
      </c>
      <c r="E23" s="8" t="s">
        <v>37</v>
      </c>
      <c r="F23" s="8" t="s">
        <v>50</v>
      </c>
      <c r="G23" s="8"/>
      <c r="H23" s="8"/>
      <c r="I23" s="9"/>
      <c r="J23" s="8"/>
      <c r="K23" s="7" t="s">
        <v>38</v>
      </c>
    </row>
    <row r="24" spans="1:11" ht="42" customHeight="1">
      <c r="A24" s="7">
        <v>17</v>
      </c>
      <c r="B24" s="7" t="s">
        <v>51</v>
      </c>
      <c r="C24" s="7" t="s">
        <v>52</v>
      </c>
      <c r="D24" s="7" t="s">
        <v>53</v>
      </c>
      <c r="E24" s="8" t="s">
        <v>37</v>
      </c>
      <c r="F24" s="8" t="s">
        <v>48</v>
      </c>
      <c r="G24" s="8"/>
      <c r="H24" s="8"/>
      <c r="I24" s="9"/>
      <c r="J24" s="8"/>
      <c r="K24" s="7" t="s">
        <v>38</v>
      </c>
    </row>
    <row r="25" spans="1:11" ht="42" customHeight="1">
      <c r="A25" s="7">
        <v>18</v>
      </c>
      <c r="B25" s="7" t="s">
        <v>51</v>
      </c>
      <c r="C25" s="7" t="s">
        <v>54</v>
      </c>
      <c r="D25" s="7" t="s">
        <v>55</v>
      </c>
      <c r="E25" s="8" t="s">
        <v>37</v>
      </c>
      <c r="F25" s="8" t="s">
        <v>52</v>
      </c>
      <c r="G25" s="8"/>
      <c r="H25" s="8"/>
      <c r="I25" s="9"/>
      <c r="J25" s="8"/>
      <c r="K25" s="7" t="s">
        <v>38</v>
      </c>
    </row>
    <row r="26" spans="1:11" ht="42" customHeight="1">
      <c r="A26" s="7">
        <v>19</v>
      </c>
      <c r="B26" s="7" t="s">
        <v>51</v>
      </c>
      <c r="C26" s="7" t="s">
        <v>56</v>
      </c>
      <c r="D26" s="7" t="s">
        <v>57</v>
      </c>
      <c r="E26" s="8" t="s">
        <v>37</v>
      </c>
      <c r="F26" s="8" t="s">
        <v>58</v>
      </c>
      <c r="G26" s="8"/>
      <c r="H26" s="8"/>
      <c r="I26" s="9"/>
      <c r="J26" s="8"/>
      <c r="K26" s="7" t="s">
        <v>38</v>
      </c>
    </row>
    <row r="27" spans="1:11" ht="42" customHeight="1">
      <c r="A27" s="7">
        <v>20</v>
      </c>
      <c r="B27" s="7" t="s">
        <v>51</v>
      </c>
      <c r="C27" s="7" t="s">
        <v>59</v>
      </c>
      <c r="D27" s="7" t="s">
        <v>60</v>
      </c>
      <c r="E27" s="8" t="s">
        <v>37</v>
      </c>
      <c r="F27" s="8" t="s">
        <v>56</v>
      </c>
      <c r="G27" s="8"/>
      <c r="H27" s="8"/>
      <c r="I27" s="9"/>
      <c r="J27" s="8"/>
      <c r="K27" s="7" t="s">
        <v>38</v>
      </c>
    </row>
    <row r="28" spans="1:11" ht="42" customHeight="1">
      <c r="A28" s="7">
        <v>21</v>
      </c>
      <c r="B28" s="7" t="s">
        <v>51</v>
      </c>
      <c r="C28" s="7" t="s">
        <v>61</v>
      </c>
      <c r="D28" s="7" t="s">
        <v>62</v>
      </c>
      <c r="E28" s="8" t="s">
        <v>37</v>
      </c>
      <c r="F28" s="8" t="s">
        <v>63</v>
      </c>
      <c r="G28" s="8"/>
      <c r="H28" s="8"/>
      <c r="I28" s="9"/>
      <c r="J28" s="8"/>
      <c r="K28" s="7" t="s">
        <v>38</v>
      </c>
    </row>
    <row r="29" spans="1:11" ht="42" customHeight="1">
      <c r="A29" s="7">
        <v>22</v>
      </c>
      <c r="B29" s="7" t="s">
        <v>51</v>
      </c>
      <c r="C29" s="7" t="s">
        <v>64</v>
      </c>
      <c r="D29" s="7" t="s">
        <v>65</v>
      </c>
      <c r="E29" s="8" t="s">
        <v>37</v>
      </c>
      <c r="F29" s="8" t="s">
        <v>61</v>
      </c>
      <c r="G29" s="8"/>
      <c r="H29" s="8"/>
      <c r="I29" s="9"/>
      <c r="J29" s="8"/>
      <c r="K29" s="7" t="s">
        <v>38</v>
      </c>
    </row>
    <row r="30" spans="1:11" ht="42" customHeight="1">
      <c r="A30" s="7">
        <v>23</v>
      </c>
      <c r="B30" s="7" t="s">
        <v>51</v>
      </c>
      <c r="C30" s="7" t="s">
        <v>66</v>
      </c>
      <c r="D30" s="7" t="s">
        <v>67</v>
      </c>
      <c r="E30" s="8" t="s">
        <v>37</v>
      </c>
      <c r="F30" s="8" t="s">
        <v>68</v>
      </c>
      <c r="G30" s="8"/>
      <c r="H30" s="8"/>
      <c r="I30" s="9"/>
      <c r="J30" s="8"/>
      <c r="K30" s="7" t="s">
        <v>38</v>
      </c>
    </row>
    <row r="31" spans="1:11" ht="42" customHeight="1">
      <c r="A31" s="7">
        <v>24</v>
      </c>
      <c r="B31" s="7" t="s">
        <v>69</v>
      </c>
      <c r="C31" s="7" t="s">
        <v>70</v>
      </c>
      <c r="D31" s="7" t="s">
        <v>71</v>
      </c>
      <c r="E31" s="8" t="s">
        <v>37</v>
      </c>
      <c r="F31" s="8" t="s">
        <v>66</v>
      </c>
      <c r="G31" s="8"/>
      <c r="H31" s="8"/>
      <c r="I31" s="9"/>
      <c r="J31" s="8"/>
      <c r="K31" s="7" t="s">
        <v>38</v>
      </c>
    </row>
    <row r="32" spans="1:11" ht="42" customHeight="1">
      <c r="A32" s="7">
        <v>25</v>
      </c>
      <c r="B32" s="7" t="s">
        <v>69</v>
      </c>
      <c r="C32" s="7" t="s">
        <v>72</v>
      </c>
      <c r="D32" s="7" t="s">
        <v>73</v>
      </c>
      <c r="E32" s="8" t="s">
        <v>37</v>
      </c>
      <c r="F32" s="8" t="s">
        <v>70</v>
      </c>
      <c r="G32" s="8"/>
      <c r="H32" s="8"/>
      <c r="I32" s="9"/>
      <c r="J32" s="8"/>
      <c r="K32" s="7" t="s">
        <v>38</v>
      </c>
    </row>
    <row r="33" spans="1:11" ht="42" customHeight="1">
      <c r="A33" s="7">
        <v>26</v>
      </c>
      <c r="B33" s="7" t="s">
        <v>69</v>
      </c>
      <c r="C33" s="7" t="s">
        <v>74</v>
      </c>
      <c r="D33" s="7" t="s">
        <v>75</v>
      </c>
      <c r="E33" s="8" t="s">
        <v>37</v>
      </c>
      <c r="F33" s="8" t="s">
        <v>72</v>
      </c>
      <c r="G33" s="8"/>
      <c r="H33" s="8"/>
      <c r="I33" s="9"/>
      <c r="J33" s="8"/>
      <c r="K33" s="7" t="s">
        <v>38</v>
      </c>
    </row>
    <row r="34" spans="1:11" ht="42" customHeight="1">
      <c r="A34" s="7">
        <v>27</v>
      </c>
      <c r="B34" s="7" t="s">
        <v>69</v>
      </c>
      <c r="C34" s="7" t="s">
        <v>76</v>
      </c>
      <c r="D34" s="7" t="s">
        <v>77</v>
      </c>
      <c r="E34" s="8" t="s">
        <v>37</v>
      </c>
      <c r="F34" s="8" t="s">
        <v>74</v>
      </c>
      <c r="G34" s="8"/>
      <c r="H34" s="8"/>
      <c r="I34" s="9"/>
      <c r="J34" s="8"/>
      <c r="K34" s="7" t="s">
        <v>38</v>
      </c>
    </row>
    <row r="35" spans="1:11" ht="42" customHeight="1">
      <c r="A35" s="7">
        <v>28</v>
      </c>
      <c r="B35" s="7" t="s">
        <v>69</v>
      </c>
      <c r="C35" s="7" t="s">
        <v>78</v>
      </c>
      <c r="D35" s="7" t="s">
        <v>79</v>
      </c>
      <c r="E35" s="8" t="s">
        <v>37</v>
      </c>
      <c r="F35" s="8" t="s">
        <v>72</v>
      </c>
      <c r="G35" s="8"/>
      <c r="H35" s="8"/>
      <c r="I35" s="9"/>
      <c r="J35" s="8"/>
      <c r="K35" s="7" t="s">
        <v>38</v>
      </c>
    </row>
    <row r="36" spans="1:11" ht="42" customHeight="1">
      <c r="A36" s="7">
        <v>29</v>
      </c>
      <c r="B36" s="7" t="s">
        <v>69</v>
      </c>
      <c r="C36" s="7" t="s">
        <v>80</v>
      </c>
      <c r="D36" s="7" t="s">
        <v>81</v>
      </c>
      <c r="E36" s="8" t="s">
        <v>37</v>
      </c>
      <c r="F36" s="8" t="s">
        <v>82</v>
      </c>
      <c r="G36" s="8"/>
      <c r="H36" s="8"/>
      <c r="I36" s="9"/>
      <c r="J36" s="8"/>
      <c r="K36" s="7" t="s">
        <v>38</v>
      </c>
    </row>
    <row r="37" spans="1:11" ht="42" customHeight="1">
      <c r="A37" s="7">
        <v>30</v>
      </c>
      <c r="B37" s="7" t="s">
        <v>69</v>
      </c>
      <c r="C37" s="7" t="s">
        <v>83</v>
      </c>
      <c r="D37" s="7" t="s">
        <v>84</v>
      </c>
      <c r="E37" s="8" t="s">
        <v>37</v>
      </c>
      <c r="F37" s="8" t="s">
        <v>80</v>
      </c>
      <c r="G37" s="8"/>
      <c r="H37" s="8"/>
      <c r="I37" s="9"/>
      <c r="J37" s="8"/>
      <c r="K37" s="7" t="s">
        <v>38</v>
      </c>
    </row>
    <row r="38" spans="1:11" ht="42" customHeight="1">
      <c r="A38" s="7">
        <v>31</v>
      </c>
      <c r="B38" s="7" t="s">
        <v>69</v>
      </c>
      <c r="C38" s="7" t="s">
        <v>85</v>
      </c>
      <c r="D38" s="7" t="s">
        <v>86</v>
      </c>
      <c r="E38" s="8" t="s">
        <v>37</v>
      </c>
      <c r="F38" s="8" t="s">
        <v>87</v>
      </c>
      <c r="G38" s="8"/>
      <c r="H38" s="8"/>
      <c r="I38" s="9"/>
      <c r="J38" s="8"/>
      <c r="K38" s="7" t="s">
        <v>38</v>
      </c>
    </row>
    <row r="39" spans="1:11" ht="42" customHeight="1">
      <c r="A39" s="7">
        <v>32</v>
      </c>
      <c r="B39" s="7" t="s">
        <v>88</v>
      </c>
      <c r="C39" s="7" t="s">
        <v>89</v>
      </c>
      <c r="D39" s="7" t="s">
        <v>90</v>
      </c>
      <c r="E39" s="8" t="s">
        <v>37</v>
      </c>
      <c r="F39" s="8" t="s">
        <v>72</v>
      </c>
      <c r="G39" s="8"/>
      <c r="H39" s="8"/>
      <c r="I39" s="9"/>
      <c r="J39" s="8"/>
      <c r="K39" s="7" t="s">
        <v>38</v>
      </c>
    </row>
    <row r="40" spans="1:11" ht="42" customHeight="1">
      <c r="A40" s="7">
        <v>33</v>
      </c>
      <c r="B40" s="7" t="s">
        <v>88</v>
      </c>
      <c r="C40" s="7" t="s">
        <v>91</v>
      </c>
      <c r="D40" s="7" t="s">
        <v>92</v>
      </c>
      <c r="E40" s="8" t="s">
        <v>37</v>
      </c>
      <c r="F40" s="8" t="s">
        <v>89</v>
      </c>
      <c r="G40" s="8"/>
      <c r="H40" s="8"/>
      <c r="I40" s="9"/>
      <c r="J40" s="8"/>
      <c r="K40" s="7" t="s">
        <v>38</v>
      </c>
    </row>
    <row r="41" spans="1:11" ht="42" customHeight="1">
      <c r="A41" s="7">
        <v>34</v>
      </c>
      <c r="B41" s="7" t="s">
        <v>88</v>
      </c>
      <c r="C41" s="7" t="s">
        <v>93</v>
      </c>
      <c r="D41" s="7" t="s">
        <v>94</v>
      </c>
      <c r="E41" s="8" t="s">
        <v>37</v>
      </c>
      <c r="F41" s="8" t="s">
        <v>91</v>
      </c>
      <c r="G41" s="8"/>
      <c r="H41" s="8"/>
      <c r="I41" s="9"/>
      <c r="J41" s="8"/>
      <c r="K41" s="7" t="s">
        <v>38</v>
      </c>
    </row>
    <row r="42" spans="1:11" ht="42" customHeight="1">
      <c r="A42" s="7">
        <v>35</v>
      </c>
      <c r="B42" s="7" t="s">
        <v>88</v>
      </c>
      <c r="C42" s="7" t="s">
        <v>95</v>
      </c>
      <c r="D42" s="7" t="s">
        <v>96</v>
      </c>
      <c r="E42" s="8" t="s">
        <v>37</v>
      </c>
      <c r="F42" s="8" t="s">
        <v>97</v>
      </c>
      <c r="G42" s="8"/>
      <c r="H42" s="8"/>
      <c r="I42" s="9"/>
      <c r="J42" s="8"/>
      <c r="K42" s="7" t="s">
        <v>38</v>
      </c>
    </row>
    <row r="43" spans="1:11" ht="42" customHeight="1">
      <c r="A43" s="7">
        <v>36</v>
      </c>
      <c r="B43" s="7" t="s">
        <v>88</v>
      </c>
      <c r="C43" s="7" t="s">
        <v>98</v>
      </c>
      <c r="D43" s="7" t="s">
        <v>99</v>
      </c>
      <c r="E43" s="8" t="s">
        <v>37</v>
      </c>
      <c r="F43" s="8" t="s">
        <v>95</v>
      </c>
      <c r="G43" s="8"/>
      <c r="H43" s="8"/>
      <c r="I43" s="9"/>
      <c r="J43" s="8"/>
      <c r="K43" s="7" t="s">
        <v>38</v>
      </c>
    </row>
    <row r="44" spans="1:11" ht="42" customHeight="1">
      <c r="A44" s="7">
        <v>37</v>
      </c>
      <c r="B44" s="7" t="s">
        <v>88</v>
      </c>
      <c r="C44" s="7" t="s">
        <v>100</v>
      </c>
      <c r="D44" s="7" t="s">
        <v>101</v>
      </c>
      <c r="E44" s="8" t="s">
        <v>37</v>
      </c>
      <c r="F44" s="8" t="s">
        <v>98</v>
      </c>
      <c r="G44" s="8"/>
      <c r="H44" s="8"/>
      <c r="I44" s="9"/>
      <c r="J44" s="8"/>
      <c r="K44" s="7" t="s">
        <v>38</v>
      </c>
    </row>
    <row r="45" spans="1:11" ht="42" customHeight="1">
      <c r="A45" s="7">
        <v>38</v>
      </c>
      <c r="B45" s="7" t="s">
        <v>88</v>
      </c>
      <c r="C45" s="7" t="s">
        <v>102</v>
      </c>
      <c r="D45" s="7" t="s">
        <v>103</v>
      </c>
      <c r="E45" s="8" t="s">
        <v>37</v>
      </c>
      <c r="F45" s="8" t="s">
        <v>100</v>
      </c>
      <c r="G45" s="8"/>
      <c r="H45" s="8"/>
      <c r="I45" s="9"/>
      <c r="J45" s="8"/>
      <c r="K45" s="7" t="s">
        <v>38</v>
      </c>
    </row>
    <row r="46" spans="1:11" ht="42" customHeight="1">
      <c r="A46" s="7">
        <v>39</v>
      </c>
      <c r="B46" s="7" t="s">
        <v>88</v>
      </c>
      <c r="C46" s="7" t="s">
        <v>104</v>
      </c>
      <c r="D46" s="7" t="s">
        <v>105</v>
      </c>
      <c r="E46" s="8" t="s">
        <v>37</v>
      </c>
      <c r="F46" s="8" t="s">
        <v>106</v>
      </c>
      <c r="G46" s="8"/>
      <c r="H46" s="8"/>
      <c r="I46" s="9"/>
      <c r="J46" s="8"/>
      <c r="K46" s="7" t="s">
        <v>38</v>
      </c>
    </row>
    <row r="47" spans="1:11" ht="42" customHeight="1">
      <c r="A47" s="7">
        <v>40</v>
      </c>
      <c r="B47" s="7" t="s">
        <v>107</v>
      </c>
      <c r="C47" s="7" t="s">
        <v>108</v>
      </c>
      <c r="D47" s="7" t="s">
        <v>109</v>
      </c>
      <c r="E47" s="8" t="s">
        <v>37</v>
      </c>
      <c r="F47" s="8" t="s">
        <v>110</v>
      </c>
      <c r="G47" s="8"/>
      <c r="H47" s="8"/>
      <c r="I47" s="9"/>
      <c r="J47" s="8"/>
      <c r="K47" s="7" t="s">
        <v>38</v>
      </c>
    </row>
    <row r="48" spans="1:11" ht="42" customHeight="1">
      <c r="A48" s="7">
        <v>41</v>
      </c>
      <c r="B48" s="7" t="s">
        <v>107</v>
      </c>
      <c r="C48" s="7" t="s">
        <v>111</v>
      </c>
      <c r="D48" s="7" t="s">
        <v>112</v>
      </c>
      <c r="E48" s="8" t="s">
        <v>37</v>
      </c>
      <c r="F48" s="8" t="s">
        <v>108</v>
      </c>
      <c r="G48" s="8"/>
      <c r="H48" s="8"/>
      <c r="I48" s="9"/>
      <c r="J48" s="8"/>
      <c r="K48" s="7" t="s">
        <v>38</v>
      </c>
    </row>
    <row r="49" spans="1:11" ht="42" customHeight="1">
      <c r="A49" s="7">
        <v>42</v>
      </c>
      <c r="B49" s="7" t="s">
        <v>107</v>
      </c>
      <c r="C49" s="7" t="s">
        <v>113</v>
      </c>
      <c r="D49" s="7" t="s">
        <v>114</v>
      </c>
      <c r="E49" s="8" t="s">
        <v>37</v>
      </c>
      <c r="F49" s="8" t="s">
        <v>111</v>
      </c>
      <c r="G49" s="8"/>
      <c r="H49" s="8"/>
      <c r="I49" s="9"/>
      <c r="J49" s="8"/>
      <c r="K49" s="7" t="s">
        <v>38</v>
      </c>
    </row>
    <row r="50" spans="1:11" ht="42" customHeight="1">
      <c r="A50" s="7">
        <v>43</v>
      </c>
      <c r="B50" s="7" t="s">
        <v>107</v>
      </c>
      <c r="C50" s="7" t="s">
        <v>115</v>
      </c>
      <c r="D50" s="7" t="s">
        <v>116</v>
      </c>
      <c r="E50" s="8" t="s">
        <v>37</v>
      </c>
      <c r="F50" s="8" t="s">
        <v>113</v>
      </c>
      <c r="G50" s="8"/>
      <c r="H50" s="8"/>
      <c r="I50" s="9"/>
      <c r="J50" s="8"/>
      <c r="K50" s="7" t="s">
        <v>38</v>
      </c>
    </row>
    <row r="51" spans="1:11" ht="42" customHeight="1">
      <c r="A51" s="7">
        <v>44</v>
      </c>
      <c r="B51" s="7" t="s">
        <v>117</v>
      </c>
      <c r="C51" s="7" t="s">
        <v>118</v>
      </c>
      <c r="D51" s="7" t="s">
        <v>119</v>
      </c>
      <c r="E51" s="8" t="s">
        <v>120</v>
      </c>
      <c r="F51" s="8" t="s">
        <v>66</v>
      </c>
      <c r="G51" s="8"/>
      <c r="H51" s="8"/>
      <c r="I51" s="9"/>
      <c r="J51" s="8"/>
      <c r="K51" s="7" t="s">
        <v>121</v>
      </c>
    </row>
    <row r="52" spans="1:11" ht="42" customHeight="1">
      <c r="A52" s="7">
        <v>45</v>
      </c>
      <c r="B52" s="7" t="s">
        <v>117</v>
      </c>
      <c r="C52" s="7" t="s">
        <v>122</v>
      </c>
      <c r="D52" s="7" t="s">
        <v>123</v>
      </c>
      <c r="E52" s="8" t="s">
        <v>120</v>
      </c>
      <c r="F52" s="8" t="s">
        <v>104</v>
      </c>
      <c r="G52" s="8"/>
      <c r="H52" s="8"/>
      <c r="I52" s="9"/>
      <c r="J52" s="8"/>
      <c r="K52" s="7" t="s">
        <v>121</v>
      </c>
    </row>
  </sheetData>
  <phoneticPr fontId="6" type="noConversion"/>
  <conditionalFormatting sqref="E7:E52">
    <cfRule type="expression" dxfId="5" priority="1">
      <formula>$E7="未开始"</formula>
    </cfRule>
    <cfRule type="expression" dxfId="4" priority="2">
      <formula>$E7="待复核"</formula>
    </cfRule>
    <cfRule type="expression" dxfId="3" priority="3">
      <formula>$E7="开发中"</formula>
    </cfRule>
    <cfRule type="expression" dxfId="2" priority="4">
      <formula>$E7="待验收"</formula>
    </cfRule>
    <cfRule type="expression" dxfId="1" priority="5">
      <formula>$E7="已验收"</formula>
    </cfRule>
    <cfRule type="expression" dxfId="0" priority="6">
      <formula>$E7="暂缓"</formula>
    </cfRule>
  </conditionalFormatting>
  <dataValidations count="1">
    <dataValidation type="list" sqref="E7:E52" xr:uid="{00000000-0002-0000-0000-000000000000}">
      <formula1>"未开始,待复核,开发中,待验收,已验收,暂缓"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E91A5"/>
  </sheetPr>
  <dimension ref="A1:H5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E8" sqref="E8"/>
    </sheetView>
  </sheetViews>
  <sheetFormatPr defaultRowHeight="14.25"/>
  <cols>
    <col min="1" max="1" width="7" customWidth="1"/>
    <col min="2" max="2" width="26.875" customWidth="1"/>
    <col min="3" max="3" width="34.875" customWidth="1"/>
    <col min="4" max="4" width="34.125" customWidth="1"/>
    <col min="5" max="5" width="54.25" customWidth="1"/>
    <col min="6" max="6" width="28.25" customWidth="1"/>
    <col min="7" max="7" width="26.375" customWidth="1"/>
    <col min="8" max="8" width="12" customWidth="1"/>
  </cols>
  <sheetData>
    <row r="1" spans="1:8">
      <c r="A1" s="10"/>
      <c r="B1" s="10"/>
      <c r="C1" s="10"/>
      <c r="D1" s="10"/>
      <c r="E1" s="10"/>
      <c r="F1" s="10"/>
      <c r="G1" s="10"/>
      <c r="H1" s="10"/>
    </row>
    <row r="2" spans="1:8" ht="27.95" customHeight="1">
      <c r="A2" s="11" t="s">
        <v>124</v>
      </c>
      <c r="B2" s="10"/>
      <c r="C2" s="10"/>
      <c r="D2" s="10"/>
      <c r="E2" s="10"/>
      <c r="F2" s="10"/>
      <c r="G2" s="10"/>
      <c r="H2" s="10"/>
    </row>
    <row r="3" spans="1:8" ht="24" customHeight="1">
      <c r="A3" s="12" t="s">
        <v>125</v>
      </c>
      <c r="B3" s="12"/>
      <c r="C3" s="12"/>
      <c r="D3" s="12"/>
      <c r="E3" s="12"/>
      <c r="F3" s="12"/>
      <c r="G3" s="12"/>
      <c r="H3" s="12"/>
    </row>
    <row r="4" spans="1:8" ht="24" customHeight="1">
      <c r="A4" s="12" t="s">
        <v>126</v>
      </c>
      <c r="B4" s="12"/>
      <c r="C4" s="12"/>
      <c r="D4" s="12"/>
      <c r="E4" s="12"/>
      <c r="F4" s="12"/>
      <c r="G4" s="12"/>
      <c r="H4" s="12"/>
    </row>
    <row r="5" spans="1:8" ht="30" customHeight="1">
      <c r="A5" s="6" t="s">
        <v>6</v>
      </c>
      <c r="B5" s="6" t="s">
        <v>7</v>
      </c>
      <c r="C5" s="6" t="s">
        <v>127</v>
      </c>
      <c r="D5" s="6" t="s">
        <v>128</v>
      </c>
      <c r="E5" s="6" t="s">
        <v>129</v>
      </c>
      <c r="F5" s="6" t="s">
        <v>130</v>
      </c>
      <c r="G5" s="6" t="s">
        <v>131</v>
      </c>
      <c r="H5" s="6" t="s">
        <v>132</v>
      </c>
    </row>
    <row r="6" spans="1:8" ht="68.099999999999994" customHeight="1">
      <c r="A6" s="13" t="s">
        <v>9</v>
      </c>
      <c r="B6" s="13" t="s">
        <v>10</v>
      </c>
      <c r="C6" s="13" t="s">
        <v>369</v>
      </c>
      <c r="D6" s="13" t="s">
        <v>133</v>
      </c>
      <c r="E6" s="13" t="s">
        <v>134</v>
      </c>
      <c r="F6" s="13" t="s">
        <v>135</v>
      </c>
      <c r="G6" s="13" t="s">
        <v>136</v>
      </c>
      <c r="H6" s="17" t="s">
        <v>370</v>
      </c>
    </row>
    <row r="7" spans="1:8" ht="68.099999999999994" customHeight="1">
      <c r="A7" s="13" t="s">
        <v>13</v>
      </c>
      <c r="B7" s="13" t="s">
        <v>14</v>
      </c>
      <c r="C7" s="13" t="s">
        <v>138</v>
      </c>
      <c r="D7" s="13" t="s">
        <v>139</v>
      </c>
      <c r="E7" s="13" t="s">
        <v>140</v>
      </c>
      <c r="F7" s="13" t="s">
        <v>141</v>
      </c>
      <c r="G7" s="13" t="s">
        <v>142</v>
      </c>
      <c r="H7" s="13" t="s">
        <v>137</v>
      </c>
    </row>
    <row r="8" spans="1:8" ht="112.5" customHeight="1">
      <c r="A8" s="13" t="s">
        <v>376</v>
      </c>
      <c r="B8" s="19" t="s">
        <v>379</v>
      </c>
      <c r="C8" s="13"/>
      <c r="D8" s="13"/>
      <c r="E8" s="13" t="s">
        <v>391</v>
      </c>
      <c r="F8" s="13"/>
      <c r="G8" s="13"/>
      <c r="H8" s="13"/>
    </row>
    <row r="9" spans="1:8" ht="68.099999999999994" customHeight="1">
      <c r="A9" s="13" t="s">
        <v>16</v>
      </c>
      <c r="B9" s="13" t="s">
        <v>17</v>
      </c>
      <c r="C9" s="13" t="s">
        <v>143</v>
      </c>
      <c r="D9" s="13" t="s">
        <v>144</v>
      </c>
      <c r="E9" s="13" t="s">
        <v>371</v>
      </c>
      <c r="F9" s="13" t="s">
        <v>145</v>
      </c>
      <c r="G9" s="13" t="s">
        <v>146</v>
      </c>
      <c r="H9" s="13" t="s">
        <v>137</v>
      </c>
    </row>
    <row r="10" spans="1:8" ht="68.099999999999994" customHeight="1">
      <c r="A10" s="13" t="s">
        <v>18</v>
      </c>
      <c r="B10" s="13" t="s">
        <v>19</v>
      </c>
      <c r="C10" s="13" t="s">
        <v>147</v>
      </c>
      <c r="D10" s="13" t="s">
        <v>148</v>
      </c>
      <c r="E10" s="13" t="s">
        <v>149</v>
      </c>
      <c r="F10" s="13" t="s">
        <v>150</v>
      </c>
      <c r="G10" s="13" t="s">
        <v>151</v>
      </c>
      <c r="H10" s="13" t="s">
        <v>152</v>
      </c>
    </row>
    <row r="11" spans="1:8" ht="68.099999999999994" customHeight="1">
      <c r="A11" s="13" t="s">
        <v>21</v>
      </c>
      <c r="B11" s="13" t="s">
        <v>22</v>
      </c>
      <c r="C11" s="13" t="s">
        <v>153</v>
      </c>
      <c r="D11" s="13" t="s">
        <v>154</v>
      </c>
      <c r="E11" s="13" t="s">
        <v>155</v>
      </c>
      <c r="F11" s="13" t="s">
        <v>156</v>
      </c>
      <c r="G11" s="13" t="s">
        <v>157</v>
      </c>
      <c r="H11" s="13" t="s">
        <v>152</v>
      </c>
    </row>
    <row r="12" spans="1:8" ht="68.099999999999994" customHeight="1">
      <c r="A12" s="13" t="s">
        <v>23</v>
      </c>
      <c r="B12" s="13" t="s">
        <v>24</v>
      </c>
      <c r="C12" s="13" t="s">
        <v>158</v>
      </c>
      <c r="D12" s="13" t="s">
        <v>159</v>
      </c>
      <c r="E12" s="13" t="s">
        <v>160</v>
      </c>
      <c r="F12" s="13" t="s">
        <v>161</v>
      </c>
      <c r="G12" s="13" t="s">
        <v>162</v>
      </c>
      <c r="H12" s="13" t="s">
        <v>137</v>
      </c>
    </row>
    <row r="13" spans="1:8" ht="68.099999999999994" customHeight="1">
      <c r="A13" s="13" t="s">
        <v>25</v>
      </c>
      <c r="B13" s="13" t="s">
        <v>26</v>
      </c>
      <c r="C13" s="13" t="s">
        <v>163</v>
      </c>
      <c r="D13" s="13" t="s">
        <v>164</v>
      </c>
      <c r="E13" s="13" t="s">
        <v>165</v>
      </c>
      <c r="F13" s="13" t="s">
        <v>166</v>
      </c>
      <c r="G13" s="13" t="s">
        <v>167</v>
      </c>
      <c r="H13" s="13" t="s">
        <v>152</v>
      </c>
    </row>
    <row r="14" spans="1:8" ht="68.099999999999994" customHeight="1">
      <c r="A14" s="13" t="s">
        <v>27</v>
      </c>
      <c r="B14" s="13" t="s">
        <v>28</v>
      </c>
      <c r="C14" s="13" t="s">
        <v>168</v>
      </c>
      <c r="D14" s="13" t="s">
        <v>169</v>
      </c>
      <c r="E14" s="13" t="s">
        <v>170</v>
      </c>
      <c r="F14" s="13" t="s">
        <v>171</v>
      </c>
      <c r="G14" s="13" t="s">
        <v>172</v>
      </c>
      <c r="H14" s="13" t="s">
        <v>152</v>
      </c>
    </row>
    <row r="15" spans="1:8" ht="68.099999999999994" customHeight="1">
      <c r="A15" s="13" t="s">
        <v>29</v>
      </c>
      <c r="B15" s="13" t="s">
        <v>30</v>
      </c>
      <c r="C15" s="13" t="s">
        <v>173</v>
      </c>
      <c r="D15" s="13" t="s">
        <v>174</v>
      </c>
      <c r="E15" s="13" t="s">
        <v>175</v>
      </c>
      <c r="F15" s="13" t="s">
        <v>176</v>
      </c>
      <c r="G15" s="13" t="s">
        <v>177</v>
      </c>
      <c r="H15" s="13" t="s">
        <v>152</v>
      </c>
    </row>
    <row r="16" spans="1:8" ht="68.099999999999994" customHeight="1">
      <c r="A16" s="13" t="s">
        <v>31</v>
      </c>
      <c r="B16" s="13" t="s">
        <v>32</v>
      </c>
      <c r="C16" s="13" t="s">
        <v>178</v>
      </c>
      <c r="D16" s="13" t="s">
        <v>179</v>
      </c>
      <c r="E16" s="13" t="s">
        <v>180</v>
      </c>
      <c r="F16" s="13" t="s">
        <v>181</v>
      </c>
      <c r="G16" s="13" t="s">
        <v>182</v>
      </c>
      <c r="H16" s="13" t="s">
        <v>137</v>
      </c>
    </row>
    <row r="17" spans="1:8" ht="68.099999999999994" customHeight="1">
      <c r="A17" s="13" t="s">
        <v>35</v>
      </c>
      <c r="B17" s="13" t="s">
        <v>36</v>
      </c>
      <c r="C17" s="13" t="s">
        <v>183</v>
      </c>
      <c r="D17" s="13" t="s">
        <v>184</v>
      </c>
      <c r="E17" s="13" t="s">
        <v>185</v>
      </c>
      <c r="F17" s="13" t="s">
        <v>186</v>
      </c>
      <c r="G17" s="13" t="s">
        <v>187</v>
      </c>
      <c r="H17" s="13" t="s">
        <v>188</v>
      </c>
    </row>
    <row r="18" spans="1:8" ht="68.099999999999994" customHeight="1">
      <c r="A18" s="13" t="s">
        <v>39</v>
      </c>
      <c r="B18" s="13" t="s">
        <v>40</v>
      </c>
      <c r="C18" s="13" t="s">
        <v>189</v>
      </c>
      <c r="D18" s="13" t="s">
        <v>190</v>
      </c>
      <c r="E18" s="13" t="s">
        <v>191</v>
      </c>
      <c r="F18" s="13" t="s">
        <v>192</v>
      </c>
      <c r="G18" s="13" t="s">
        <v>193</v>
      </c>
      <c r="H18" s="13" t="s">
        <v>188</v>
      </c>
    </row>
    <row r="19" spans="1:8" ht="68.099999999999994" customHeight="1">
      <c r="A19" s="13" t="s">
        <v>41</v>
      </c>
      <c r="B19" s="13" t="s">
        <v>42</v>
      </c>
      <c r="C19" s="13" t="s">
        <v>194</v>
      </c>
      <c r="D19" s="13" t="s">
        <v>195</v>
      </c>
      <c r="E19" s="13" t="s">
        <v>196</v>
      </c>
      <c r="F19" s="13" t="s">
        <v>197</v>
      </c>
      <c r="G19" s="13" t="s">
        <v>198</v>
      </c>
      <c r="H19" s="13" t="s">
        <v>188</v>
      </c>
    </row>
    <row r="20" spans="1:8" ht="68.099999999999994" customHeight="1">
      <c r="A20" s="13" t="s">
        <v>43</v>
      </c>
      <c r="B20" s="13" t="s">
        <v>44</v>
      </c>
      <c r="C20" s="13" t="s">
        <v>199</v>
      </c>
      <c r="D20" s="13" t="s">
        <v>200</v>
      </c>
      <c r="E20" s="13" t="s">
        <v>201</v>
      </c>
      <c r="F20" s="13" t="s">
        <v>202</v>
      </c>
      <c r="G20" s="13" t="s">
        <v>203</v>
      </c>
      <c r="H20" s="13" t="s">
        <v>188</v>
      </c>
    </row>
    <row r="21" spans="1:8" ht="68.099999999999994" customHeight="1">
      <c r="A21" s="13" t="s">
        <v>46</v>
      </c>
      <c r="B21" s="13" t="s">
        <v>47</v>
      </c>
      <c r="C21" s="13" t="s">
        <v>204</v>
      </c>
      <c r="D21" s="13" t="s">
        <v>205</v>
      </c>
      <c r="E21" s="13" t="s">
        <v>206</v>
      </c>
      <c r="F21" s="13" t="s">
        <v>207</v>
      </c>
      <c r="G21" s="13" t="s">
        <v>208</v>
      </c>
      <c r="H21" s="13" t="s">
        <v>188</v>
      </c>
    </row>
    <row r="22" spans="1:8" ht="68.099999999999994" customHeight="1">
      <c r="A22" s="13" t="s">
        <v>48</v>
      </c>
      <c r="B22" s="13" t="s">
        <v>49</v>
      </c>
      <c r="C22" s="13" t="s">
        <v>209</v>
      </c>
      <c r="D22" s="13" t="s">
        <v>210</v>
      </c>
      <c r="E22" s="13" t="s">
        <v>211</v>
      </c>
      <c r="F22" s="13" t="s">
        <v>212</v>
      </c>
      <c r="G22" s="13" t="s">
        <v>213</v>
      </c>
      <c r="H22" s="13" t="s">
        <v>188</v>
      </c>
    </row>
    <row r="23" spans="1:8" ht="68.099999999999994" customHeight="1">
      <c r="A23" s="13" t="s">
        <v>52</v>
      </c>
      <c r="B23" s="13" t="s">
        <v>53</v>
      </c>
      <c r="C23" s="13" t="s">
        <v>214</v>
      </c>
      <c r="D23" s="13" t="s">
        <v>215</v>
      </c>
      <c r="E23" s="13" t="s">
        <v>216</v>
      </c>
      <c r="F23" s="13" t="s">
        <v>217</v>
      </c>
      <c r="G23" s="13" t="s">
        <v>218</v>
      </c>
      <c r="H23" s="13" t="s">
        <v>188</v>
      </c>
    </row>
    <row r="24" spans="1:8" ht="68.099999999999994" customHeight="1">
      <c r="A24" s="13" t="s">
        <v>54</v>
      </c>
      <c r="B24" s="13" t="s">
        <v>55</v>
      </c>
      <c r="C24" s="13" t="s">
        <v>219</v>
      </c>
      <c r="D24" s="13" t="s">
        <v>220</v>
      </c>
      <c r="E24" s="13" t="s">
        <v>221</v>
      </c>
      <c r="F24" s="13" t="s">
        <v>222</v>
      </c>
      <c r="G24" s="13" t="s">
        <v>223</v>
      </c>
      <c r="H24" s="13" t="s">
        <v>188</v>
      </c>
    </row>
    <row r="25" spans="1:8" ht="68.099999999999994" customHeight="1">
      <c r="A25" s="13" t="s">
        <v>56</v>
      </c>
      <c r="B25" s="13" t="s">
        <v>57</v>
      </c>
      <c r="C25" s="13" t="s">
        <v>224</v>
      </c>
      <c r="D25" s="13" t="s">
        <v>225</v>
      </c>
      <c r="E25" s="13" t="s">
        <v>226</v>
      </c>
      <c r="F25" s="13" t="s">
        <v>227</v>
      </c>
      <c r="G25" s="13" t="s">
        <v>228</v>
      </c>
      <c r="H25" s="13" t="s">
        <v>188</v>
      </c>
    </row>
    <row r="26" spans="1:8" ht="68.099999999999994" customHeight="1">
      <c r="A26" s="13" t="s">
        <v>59</v>
      </c>
      <c r="B26" s="13" t="s">
        <v>60</v>
      </c>
      <c r="C26" s="13" t="s">
        <v>229</v>
      </c>
      <c r="D26" s="13" t="s">
        <v>230</v>
      </c>
      <c r="E26" s="13" t="s">
        <v>231</v>
      </c>
      <c r="F26" s="13" t="s">
        <v>232</v>
      </c>
      <c r="G26" s="13" t="s">
        <v>233</v>
      </c>
      <c r="H26" s="13" t="s">
        <v>188</v>
      </c>
    </row>
    <row r="27" spans="1:8" ht="68.099999999999994" customHeight="1">
      <c r="A27" s="13" t="s">
        <v>61</v>
      </c>
      <c r="B27" s="13" t="s">
        <v>62</v>
      </c>
      <c r="C27" s="13" t="s">
        <v>234</v>
      </c>
      <c r="D27" s="13" t="s">
        <v>235</v>
      </c>
      <c r="E27" s="13" t="s">
        <v>236</v>
      </c>
      <c r="F27" s="13" t="s">
        <v>237</v>
      </c>
      <c r="G27" s="13" t="s">
        <v>238</v>
      </c>
      <c r="H27" s="13" t="s">
        <v>188</v>
      </c>
    </row>
    <row r="28" spans="1:8" ht="68.099999999999994" customHeight="1">
      <c r="A28" s="13" t="s">
        <v>64</v>
      </c>
      <c r="B28" s="13" t="s">
        <v>65</v>
      </c>
      <c r="C28" s="13" t="s">
        <v>239</v>
      </c>
      <c r="D28" s="13" t="s">
        <v>240</v>
      </c>
      <c r="E28" s="13" t="s">
        <v>241</v>
      </c>
      <c r="F28" s="13" t="s">
        <v>242</v>
      </c>
      <c r="G28" s="13" t="s">
        <v>243</v>
      </c>
      <c r="H28" s="13" t="s">
        <v>188</v>
      </c>
    </row>
    <row r="29" spans="1:8" ht="68.099999999999994" customHeight="1">
      <c r="A29" s="13" t="s">
        <v>66</v>
      </c>
      <c r="B29" s="13" t="s">
        <v>67</v>
      </c>
      <c r="C29" s="13" t="s">
        <v>244</v>
      </c>
      <c r="D29" s="13" t="s">
        <v>245</v>
      </c>
      <c r="E29" s="13" t="s">
        <v>246</v>
      </c>
      <c r="F29" s="13" t="s">
        <v>247</v>
      </c>
      <c r="G29" s="13" t="s">
        <v>248</v>
      </c>
      <c r="H29" s="13" t="s">
        <v>188</v>
      </c>
    </row>
    <row r="30" spans="1:8" ht="68.099999999999994" customHeight="1">
      <c r="A30" s="13" t="s">
        <v>70</v>
      </c>
      <c r="B30" s="13" t="s">
        <v>71</v>
      </c>
      <c r="C30" s="13" t="s">
        <v>249</v>
      </c>
      <c r="D30" s="13" t="s">
        <v>250</v>
      </c>
      <c r="E30" s="13" t="s">
        <v>251</v>
      </c>
      <c r="F30" s="13" t="s">
        <v>252</v>
      </c>
      <c r="G30" s="13" t="s">
        <v>253</v>
      </c>
      <c r="H30" s="13" t="s">
        <v>188</v>
      </c>
    </row>
    <row r="31" spans="1:8" ht="68.099999999999994" customHeight="1">
      <c r="A31" s="13" t="s">
        <v>72</v>
      </c>
      <c r="B31" s="13" t="s">
        <v>73</v>
      </c>
      <c r="C31" s="13" t="s">
        <v>254</v>
      </c>
      <c r="D31" s="13" t="s">
        <v>255</v>
      </c>
      <c r="E31" s="13" t="s">
        <v>256</v>
      </c>
      <c r="F31" s="13" t="s">
        <v>257</v>
      </c>
      <c r="G31" s="13" t="s">
        <v>258</v>
      </c>
      <c r="H31" s="13" t="s">
        <v>188</v>
      </c>
    </row>
    <row r="32" spans="1:8" ht="68.099999999999994" customHeight="1">
      <c r="A32" s="13" t="s">
        <v>74</v>
      </c>
      <c r="B32" s="13" t="s">
        <v>75</v>
      </c>
      <c r="C32" s="13" t="s">
        <v>259</v>
      </c>
      <c r="D32" s="13" t="s">
        <v>260</v>
      </c>
      <c r="E32" s="13" t="s">
        <v>261</v>
      </c>
      <c r="F32" s="13" t="s">
        <v>262</v>
      </c>
      <c r="G32" s="13" t="s">
        <v>263</v>
      </c>
      <c r="H32" s="13" t="s">
        <v>188</v>
      </c>
    </row>
    <row r="33" spans="1:8" ht="68.099999999999994" customHeight="1">
      <c r="A33" s="13" t="s">
        <v>76</v>
      </c>
      <c r="B33" s="13" t="s">
        <v>77</v>
      </c>
      <c r="C33" s="13" t="s">
        <v>264</v>
      </c>
      <c r="D33" s="13" t="s">
        <v>265</v>
      </c>
      <c r="E33" s="13" t="s">
        <v>266</v>
      </c>
      <c r="F33" s="13" t="s">
        <v>267</v>
      </c>
      <c r="G33" s="13" t="s">
        <v>268</v>
      </c>
      <c r="H33" s="13" t="s">
        <v>188</v>
      </c>
    </row>
    <row r="34" spans="1:8" ht="68.099999999999994" customHeight="1">
      <c r="A34" s="13" t="s">
        <v>78</v>
      </c>
      <c r="B34" s="13" t="s">
        <v>79</v>
      </c>
      <c r="C34" s="13" t="s">
        <v>269</v>
      </c>
      <c r="D34" s="13" t="s">
        <v>270</v>
      </c>
      <c r="E34" s="13" t="s">
        <v>271</v>
      </c>
      <c r="F34" s="13" t="s">
        <v>272</v>
      </c>
      <c r="G34" s="13" t="s">
        <v>273</v>
      </c>
      <c r="H34" s="13" t="s">
        <v>188</v>
      </c>
    </row>
    <row r="35" spans="1:8" ht="68.099999999999994" customHeight="1">
      <c r="A35" s="13" t="s">
        <v>80</v>
      </c>
      <c r="B35" s="13" t="s">
        <v>81</v>
      </c>
      <c r="C35" s="13" t="s">
        <v>274</v>
      </c>
      <c r="D35" s="13" t="s">
        <v>275</v>
      </c>
      <c r="E35" s="13" t="s">
        <v>276</v>
      </c>
      <c r="F35" s="13" t="s">
        <v>277</v>
      </c>
      <c r="G35" s="13" t="s">
        <v>278</v>
      </c>
      <c r="H35" s="13" t="s">
        <v>188</v>
      </c>
    </row>
    <row r="36" spans="1:8" ht="68.099999999999994" customHeight="1">
      <c r="A36" s="13" t="s">
        <v>83</v>
      </c>
      <c r="B36" s="13" t="s">
        <v>84</v>
      </c>
      <c r="C36" s="13" t="s">
        <v>279</v>
      </c>
      <c r="D36" s="13" t="s">
        <v>280</v>
      </c>
      <c r="E36" s="13" t="s">
        <v>281</v>
      </c>
      <c r="F36" s="13" t="s">
        <v>282</v>
      </c>
      <c r="G36" s="13" t="s">
        <v>283</v>
      </c>
      <c r="H36" s="13" t="s">
        <v>188</v>
      </c>
    </row>
    <row r="37" spans="1:8" ht="68.099999999999994" customHeight="1">
      <c r="A37" s="13" t="s">
        <v>85</v>
      </c>
      <c r="B37" s="13" t="s">
        <v>86</v>
      </c>
      <c r="C37" s="13" t="s">
        <v>284</v>
      </c>
      <c r="D37" s="13" t="s">
        <v>285</v>
      </c>
      <c r="E37" s="13" t="s">
        <v>286</v>
      </c>
      <c r="F37" s="13" t="s">
        <v>287</v>
      </c>
      <c r="G37" s="13" t="s">
        <v>288</v>
      </c>
      <c r="H37" s="13" t="s">
        <v>188</v>
      </c>
    </row>
    <row r="38" spans="1:8" ht="68.099999999999994" customHeight="1">
      <c r="A38" s="13" t="s">
        <v>89</v>
      </c>
      <c r="B38" s="13" t="s">
        <v>90</v>
      </c>
      <c r="C38" s="13" t="s">
        <v>289</v>
      </c>
      <c r="D38" s="13" t="s">
        <v>290</v>
      </c>
      <c r="E38" s="13" t="s">
        <v>291</v>
      </c>
      <c r="F38" s="13" t="s">
        <v>292</v>
      </c>
      <c r="G38" s="13" t="s">
        <v>293</v>
      </c>
      <c r="H38" s="13" t="s">
        <v>188</v>
      </c>
    </row>
    <row r="39" spans="1:8" ht="68.099999999999994" customHeight="1">
      <c r="A39" s="13" t="s">
        <v>91</v>
      </c>
      <c r="B39" s="13" t="s">
        <v>92</v>
      </c>
      <c r="C39" s="13" t="s">
        <v>294</v>
      </c>
      <c r="D39" s="13" t="s">
        <v>295</v>
      </c>
      <c r="E39" s="13" t="s">
        <v>296</v>
      </c>
      <c r="F39" s="13" t="s">
        <v>297</v>
      </c>
      <c r="G39" s="13" t="s">
        <v>298</v>
      </c>
      <c r="H39" s="13" t="s">
        <v>188</v>
      </c>
    </row>
    <row r="40" spans="1:8" ht="78" customHeight="1">
      <c r="A40" s="13" t="s">
        <v>93</v>
      </c>
      <c r="B40" s="13" t="s">
        <v>94</v>
      </c>
      <c r="C40" s="13" t="s">
        <v>299</v>
      </c>
      <c r="D40" s="13" t="s">
        <v>300</v>
      </c>
      <c r="E40" s="13" t="s">
        <v>301</v>
      </c>
      <c r="F40" s="13" t="s">
        <v>302</v>
      </c>
      <c r="G40" s="13" t="s">
        <v>303</v>
      </c>
      <c r="H40" s="13" t="s">
        <v>188</v>
      </c>
    </row>
    <row r="41" spans="1:8" ht="68.099999999999994" customHeight="1">
      <c r="A41" s="13" t="s">
        <v>95</v>
      </c>
      <c r="B41" s="13" t="s">
        <v>96</v>
      </c>
      <c r="C41" s="13" t="s">
        <v>304</v>
      </c>
      <c r="D41" s="13" t="s">
        <v>305</v>
      </c>
      <c r="E41" s="13" t="s">
        <v>306</v>
      </c>
      <c r="F41" s="13" t="s">
        <v>307</v>
      </c>
      <c r="G41" s="13" t="s">
        <v>308</v>
      </c>
      <c r="H41" s="13" t="s">
        <v>188</v>
      </c>
    </row>
    <row r="42" spans="1:8" ht="68.099999999999994" customHeight="1">
      <c r="A42" s="13" t="s">
        <v>98</v>
      </c>
      <c r="B42" s="13" t="s">
        <v>99</v>
      </c>
      <c r="C42" s="13" t="s">
        <v>309</v>
      </c>
      <c r="D42" s="13" t="s">
        <v>310</v>
      </c>
      <c r="E42" s="13" t="s">
        <v>311</v>
      </c>
      <c r="F42" s="13" t="s">
        <v>312</v>
      </c>
      <c r="G42" s="13" t="s">
        <v>313</v>
      </c>
      <c r="H42" s="13" t="s">
        <v>188</v>
      </c>
    </row>
    <row r="43" spans="1:8" ht="68.099999999999994" customHeight="1">
      <c r="A43" s="13" t="s">
        <v>100</v>
      </c>
      <c r="B43" s="13" t="s">
        <v>101</v>
      </c>
      <c r="C43" s="13" t="s">
        <v>314</v>
      </c>
      <c r="D43" s="13" t="s">
        <v>315</v>
      </c>
      <c r="E43" s="13" t="s">
        <v>316</v>
      </c>
      <c r="F43" s="13" t="s">
        <v>317</v>
      </c>
      <c r="G43" s="13" t="s">
        <v>318</v>
      </c>
      <c r="H43" s="13" t="s">
        <v>188</v>
      </c>
    </row>
    <row r="44" spans="1:8" ht="78" customHeight="1">
      <c r="A44" s="13" t="s">
        <v>102</v>
      </c>
      <c r="B44" s="13" t="s">
        <v>103</v>
      </c>
      <c r="C44" s="13" t="s">
        <v>319</v>
      </c>
      <c r="D44" s="13" t="s">
        <v>320</v>
      </c>
      <c r="E44" s="13" t="s">
        <v>321</v>
      </c>
      <c r="F44" s="13" t="s">
        <v>322</v>
      </c>
      <c r="G44" s="13" t="s">
        <v>323</v>
      </c>
      <c r="H44" s="13" t="s">
        <v>188</v>
      </c>
    </row>
    <row r="45" spans="1:8" ht="68.099999999999994" customHeight="1">
      <c r="A45" s="13" t="s">
        <v>104</v>
      </c>
      <c r="B45" s="13" t="s">
        <v>105</v>
      </c>
      <c r="C45" s="13" t="s">
        <v>324</v>
      </c>
      <c r="D45" s="13" t="s">
        <v>325</v>
      </c>
      <c r="E45" s="13" t="s">
        <v>326</v>
      </c>
      <c r="F45" s="13" t="s">
        <v>327</v>
      </c>
      <c r="G45" s="13" t="s">
        <v>328</v>
      </c>
      <c r="H45" s="13" t="s">
        <v>188</v>
      </c>
    </row>
    <row r="46" spans="1:8" ht="68.099999999999994" customHeight="1">
      <c r="A46" s="13" t="s">
        <v>108</v>
      </c>
      <c r="B46" s="13" t="s">
        <v>109</v>
      </c>
      <c r="C46" s="13" t="s">
        <v>329</v>
      </c>
      <c r="D46" s="13" t="s">
        <v>330</v>
      </c>
      <c r="E46" s="13" t="s">
        <v>331</v>
      </c>
      <c r="F46" s="13" t="s">
        <v>332</v>
      </c>
      <c r="G46" s="13" t="s">
        <v>333</v>
      </c>
      <c r="H46" s="13" t="s">
        <v>188</v>
      </c>
    </row>
    <row r="47" spans="1:8" ht="68.099999999999994" customHeight="1">
      <c r="A47" s="13" t="s">
        <v>111</v>
      </c>
      <c r="B47" s="13" t="s">
        <v>112</v>
      </c>
      <c r="C47" s="13" t="s">
        <v>334</v>
      </c>
      <c r="D47" s="13" t="s">
        <v>335</v>
      </c>
      <c r="E47" s="13" t="s">
        <v>336</v>
      </c>
      <c r="F47" s="13" t="s">
        <v>337</v>
      </c>
      <c r="G47" s="13" t="s">
        <v>338</v>
      </c>
      <c r="H47" s="13" t="s">
        <v>188</v>
      </c>
    </row>
    <row r="48" spans="1:8" ht="68.099999999999994" customHeight="1">
      <c r="A48" s="13" t="s">
        <v>113</v>
      </c>
      <c r="B48" s="13" t="s">
        <v>114</v>
      </c>
      <c r="C48" s="13" t="s">
        <v>339</v>
      </c>
      <c r="D48" s="13" t="s">
        <v>340</v>
      </c>
      <c r="E48" s="13" t="s">
        <v>341</v>
      </c>
      <c r="F48" s="13" t="s">
        <v>342</v>
      </c>
      <c r="G48" s="13" t="s">
        <v>343</v>
      </c>
      <c r="H48" s="13" t="s">
        <v>188</v>
      </c>
    </row>
    <row r="49" spans="1:8" ht="68.099999999999994" customHeight="1">
      <c r="A49" s="13" t="s">
        <v>115</v>
      </c>
      <c r="B49" s="13" t="s">
        <v>116</v>
      </c>
      <c r="C49" s="13" t="s">
        <v>344</v>
      </c>
      <c r="D49" s="13" t="s">
        <v>345</v>
      </c>
      <c r="E49" s="13" t="s">
        <v>346</v>
      </c>
      <c r="F49" s="13" t="s">
        <v>347</v>
      </c>
      <c r="G49" s="13" t="s">
        <v>348</v>
      </c>
      <c r="H49" s="13" t="s">
        <v>188</v>
      </c>
    </row>
    <row r="50" spans="1:8" ht="68.099999999999994" customHeight="1">
      <c r="A50" s="13" t="s">
        <v>118</v>
      </c>
      <c r="B50" s="13" t="s">
        <v>119</v>
      </c>
      <c r="C50" s="13" t="s">
        <v>349</v>
      </c>
      <c r="D50" s="13" t="s">
        <v>350</v>
      </c>
      <c r="E50" s="13" t="s">
        <v>351</v>
      </c>
      <c r="F50" s="13" t="s">
        <v>352</v>
      </c>
      <c r="G50" s="13" t="s">
        <v>353</v>
      </c>
      <c r="H50" s="13" t="s">
        <v>354</v>
      </c>
    </row>
    <row r="51" spans="1:8" ht="68.099999999999994" customHeight="1">
      <c r="A51" s="13" t="s">
        <v>122</v>
      </c>
      <c r="B51" s="13" t="s">
        <v>123</v>
      </c>
      <c r="C51" s="13" t="s">
        <v>355</v>
      </c>
      <c r="D51" s="13" t="s">
        <v>356</v>
      </c>
      <c r="E51" s="13" t="s">
        <v>357</v>
      </c>
      <c r="F51" s="13" t="s">
        <v>358</v>
      </c>
      <c r="G51" s="13" t="s">
        <v>359</v>
      </c>
      <c r="H51" s="13" t="s">
        <v>354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任务进度</vt:lpstr>
      <vt:lpstr>需求详情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649312210@qq.com</cp:lastModifiedBy>
  <dcterms:modified xsi:type="dcterms:W3CDTF">2026-10-10T23:57:32Z</dcterms:modified>
</cp:coreProperties>
</file>